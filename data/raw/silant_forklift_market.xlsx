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34EC374A-80A2-D14C-93A8-78FB436A6C1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данные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4" l="1"/>
  <c r="N21" i="4"/>
  <c r="M21" i="4"/>
  <c r="L21" i="4"/>
  <c r="K21" i="4"/>
  <c r="J21" i="4"/>
  <c r="I21" i="4"/>
  <c r="H21" i="4"/>
  <c r="G21" i="4"/>
  <c r="F21" i="4"/>
  <c r="E21" i="4"/>
  <c r="D21" i="4"/>
  <c r="C2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</calcChain>
</file>

<file path=xl/sharedStrings.xml><?xml version="1.0" encoding="utf-8"?>
<sst xmlns="http://schemas.openxmlformats.org/spreadsheetml/2006/main" count="62" uniqueCount="41">
  <si>
    <t>1 кв.2023</t>
  </si>
  <si>
    <t>2 кв.2023</t>
  </si>
  <si>
    <t>3 кв.2023</t>
  </si>
  <si>
    <t>4 кв.2023</t>
  </si>
  <si>
    <t>1 кв.2024</t>
  </si>
  <si>
    <t>2 кв.2024</t>
  </si>
  <si>
    <t>3 кв.2024</t>
  </si>
  <si>
    <t>4 кв.2024</t>
  </si>
  <si>
    <t>1 кв.2025</t>
  </si>
  <si>
    <t>2 кв.2025</t>
  </si>
  <si>
    <t>3 кв.2025</t>
  </si>
  <si>
    <t>4 кв.2025</t>
  </si>
  <si>
    <t>1 кв.2026</t>
  </si>
  <si>
    <t>Итого:</t>
  </si>
  <si>
    <t>от 10 до 40 л.с.</t>
  </si>
  <si>
    <t>Грузоподъемность</t>
  </si>
  <si>
    <t>Мощность ДВС</t>
  </si>
  <si>
    <t>от 10 до 50 л.с.</t>
  </si>
  <si>
    <t>от 10 до 60 л.с.</t>
  </si>
  <si>
    <t>от 20 до 25 т.</t>
  </si>
  <si>
    <t>1-1,8т.</t>
  </si>
  <si>
    <t>2-2,5 т.</t>
  </si>
  <si>
    <t>3-3,5</t>
  </si>
  <si>
    <t>6-8,0 т.</t>
  </si>
  <si>
    <t>11-18,0 т.</t>
  </si>
  <si>
    <t>от 10 до 80 л.с.</t>
  </si>
  <si>
    <t>от 10 до 100 л.с.</t>
  </si>
  <si>
    <t>3,8-5,0 т.</t>
  </si>
  <si>
    <t>от 20 до 90 л.с.</t>
  </si>
  <si>
    <t>от 70 до 120 л.с.</t>
  </si>
  <si>
    <t>8,5-10,0 т.</t>
  </si>
  <si>
    <t>от 70 до 100 л.с.</t>
  </si>
  <si>
    <t>от 90 до 150 л.с.</t>
  </si>
  <si>
    <t>от 140 до 200 л.с.</t>
  </si>
  <si>
    <t>Объем рынка Автопогрузчиков, шт. (по грузоподъемности)</t>
  </si>
  <si>
    <t>Объем рынка Электропогрузчиков, шт. (по грузоподъемности)</t>
  </si>
  <si>
    <t>от 10 до 70 л.с.</t>
  </si>
  <si>
    <t>5,5-8,0 т.</t>
  </si>
  <si>
    <t>8,5-16,0 т.</t>
  </si>
  <si>
    <t>от 20 до 160 л.с.</t>
  </si>
  <si>
    <t>Мощность двигателя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</si>
</sst>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/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F115-ABB5-441D-A973-F269E4933E0F}">
  <dimension ref="A1:O21"/>
  <sheetViews>
    <sheetView tabSelected="1" workbookViewId="0">
      <selection activeCell="J26" sqref="J26"/>
    </sheetView>
  </sheetViews>
  <sheetFormatPr baseColWidth="10" defaultColWidth="8.83203125" defaultRowHeight="15" x14ac:dyDescent="0.2"/>
  <cols>
    <col min="1" max="1" width="16.1640625" bestFit="1" customWidth="1"/>
    <col min="2" max="2" width="21.6640625" customWidth="1"/>
    <col min="3" max="15" width="8.5" bestFit="1" customWidth="1"/>
  </cols>
  <sheetData>
    <row r="1" spans="1:15" x14ac:dyDescent="0.2">
      <c r="A1" s="8"/>
      <c r="B1" s="9"/>
      <c r="C1" s="13" t="s">
        <v>34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">
      <c r="A2" s="10" t="s">
        <v>15</v>
      </c>
      <c r="B2" s="1" t="s">
        <v>16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x14ac:dyDescent="0.2">
      <c r="A3" s="6" t="s">
        <v>20</v>
      </c>
      <c r="B3" s="2" t="s">
        <v>17</v>
      </c>
      <c r="C3">
        <v>3050</v>
      </c>
      <c r="D3">
        <v>3080</v>
      </c>
      <c r="E3">
        <v>4050</v>
      </c>
      <c r="F3">
        <v>2660</v>
      </c>
      <c r="G3">
        <v>1530</v>
      </c>
      <c r="H3">
        <v>3840</v>
      </c>
      <c r="I3">
        <v>2870</v>
      </c>
      <c r="J3">
        <v>4160</v>
      </c>
      <c r="K3">
        <v>1750</v>
      </c>
      <c r="L3">
        <v>1130</v>
      </c>
      <c r="M3">
        <v>1450</v>
      </c>
      <c r="N3">
        <v>2070</v>
      </c>
      <c r="O3">
        <v>1210</v>
      </c>
    </row>
    <row r="4" spans="1:15" x14ac:dyDescent="0.2">
      <c r="A4" s="6" t="s">
        <v>21</v>
      </c>
      <c r="B4" s="2" t="s">
        <v>25</v>
      </c>
      <c r="C4">
        <v>2970</v>
      </c>
      <c r="D4">
        <v>1860</v>
      </c>
      <c r="E4">
        <v>2710</v>
      </c>
      <c r="F4">
        <v>3160</v>
      </c>
      <c r="G4">
        <v>1640</v>
      </c>
      <c r="H4">
        <v>2640</v>
      </c>
      <c r="I4">
        <v>2670</v>
      </c>
      <c r="J4">
        <v>3250</v>
      </c>
      <c r="K4">
        <v>2180</v>
      </c>
      <c r="L4">
        <v>1190</v>
      </c>
      <c r="M4">
        <v>1200</v>
      </c>
      <c r="N4">
        <v>1290</v>
      </c>
      <c r="O4">
        <v>1150</v>
      </c>
    </row>
    <row r="5" spans="1:15" x14ac:dyDescent="0.2">
      <c r="A5" s="6" t="s">
        <v>22</v>
      </c>
      <c r="B5" s="2" t="s">
        <v>26</v>
      </c>
      <c r="C5">
        <v>6050</v>
      </c>
      <c r="D5">
        <v>5500</v>
      </c>
      <c r="E5">
        <v>5730</v>
      </c>
      <c r="F5">
        <v>8520</v>
      </c>
      <c r="G5">
        <v>3240</v>
      </c>
      <c r="H5">
        <v>5100</v>
      </c>
      <c r="I5">
        <v>5260</v>
      </c>
      <c r="J5">
        <v>6510</v>
      </c>
      <c r="K5">
        <v>3420</v>
      </c>
      <c r="L5">
        <v>2430</v>
      </c>
      <c r="M5">
        <v>2400</v>
      </c>
      <c r="N5">
        <v>1650</v>
      </c>
      <c r="O5">
        <v>1960</v>
      </c>
    </row>
    <row r="6" spans="1:15" x14ac:dyDescent="0.2">
      <c r="A6" s="6" t="s">
        <v>27</v>
      </c>
      <c r="B6" s="2" t="s">
        <v>28</v>
      </c>
      <c r="C6">
        <v>980</v>
      </c>
      <c r="D6">
        <v>1220</v>
      </c>
      <c r="E6">
        <v>1020</v>
      </c>
      <c r="F6">
        <v>960</v>
      </c>
      <c r="G6">
        <v>600</v>
      </c>
      <c r="H6">
        <v>1200</v>
      </c>
      <c r="I6">
        <v>700</v>
      </c>
      <c r="J6">
        <v>1050</v>
      </c>
      <c r="K6">
        <v>420</v>
      </c>
      <c r="L6">
        <v>340</v>
      </c>
      <c r="M6">
        <v>470</v>
      </c>
      <c r="N6">
        <v>510</v>
      </c>
      <c r="O6">
        <v>260</v>
      </c>
    </row>
    <row r="7" spans="1:15" x14ac:dyDescent="0.2">
      <c r="A7" s="6" t="s">
        <v>23</v>
      </c>
      <c r="B7" s="2" t="s">
        <v>29</v>
      </c>
      <c r="C7">
        <v>180</v>
      </c>
      <c r="D7">
        <v>100</v>
      </c>
      <c r="E7">
        <v>170</v>
      </c>
      <c r="F7">
        <v>200</v>
      </c>
      <c r="G7">
        <v>160</v>
      </c>
      <c r="H7">
        <v>200</v>
      </c>
      <c r="I7">
        <v>80</v>
      </c>
      <c r="J7">
        <v>120</v>
      </c>
      <c r="K7">
        <v>40</v>
      </c>
      <c r="L7">
        <v>50</v>
      </c>
      <c r="M7">
        <v>110</v>
      </c>
      <c r="N7">
        <v>150</v>
      </c>
      <c r="O7">
        <v>130</v>
      </c>
    </row>
    <row r="8" spans="1:15" x14ac:dyDescent="0.2">
      <c r="A8" s="6" t="s">
        <v>30</v>
      </c>
      <c r="B8" s="2" t="s">
        <v>31</v>
      </c>
      <c r="C8">
        <v>90</v>
      </c>
      <c r="D8">
        <v>140</v>
      </c>
      <c r="E8">
        <v>40</v>
      </c>
      <c r="F8">
        <v>150</v>
      </c>
      <c r="G8">
        <v>70</v>
      </c>
      <c r="H8">
        <v>180</v>
      </c>
      <c r="I8">
        <v>90</v>
      </c>
      <c r="J8">
        <v>140</v>
      </c>
      <c r="K8">
        <v>100</v>
      </c>
      <c r="L8">
        <v>70</v>
      </c>
      <c r="M8">
        <v>100</v>
      </c>
      <c r="N8">
        <v>80</v>
      </c>
      <c r="O8">
        <v>80</v>
      </c>
    </row>
    <row r="9" spans="1:15" x14ac:dyDescent="0.2">
      <c r="A9" s="6" t="s">
        <v>24</v>
      </c>
      <c r="B9" s="2" t="s">
        <v>32</v>
      </c>
      <c r="C9">
        <v>20</v>
      </c>
      <c r="D9">
        <v>30</v>
      </c>
      <c r="E9">
        <v>40</v>
      </c>
      <c r="F9">
        <v>40</v>
      </c>
      <c r="G9">
        <v>0</v>
      </c>
      <c r="H9">
        <v>20</v>
      </c>
      <c r="I9">
        <v>20</v>
      </c>
      <c r="J9">
        <v>0</v>
      </c>
      <c r="K9">
        <v>30</v>
      </c>
      <c r="L9">
        <v>20</v>
      </c>
      <c r="M9">
        <v>30</v>
      </c>
      <c r="N9">
        <v>40</v>
      </c>
      <c r="O9">
        <v>30</v>
      </c>
    </row>
    <row r="10" spans="1:15" x14ac:dyDescent="0.2">
      <c r="A10" s="10" t="s">
        <v>19</v>
      </c>
      <c r="B10" s="2" t="s">
        <v>33</v>
      </c>
      <c r="C10">
        <v>0</v>
      </c>
      <c r="D10">
        <v>20</v>
      </c>
      <c r="E10">
        <v>0</v>
      </c>
      <c r="F10">
        <v>0</v>
      </c>
      <c r="G10">
        <v>0</v>
      </c>
      <c r="H10">
        <v>0</v>
      </c>
      <c r="I10">
        <v>10</v>
      </c>
      <c r="J10">
        <v>10</v>
      </c>
      <c r="K10">
        <v>0</v>
      </c>
      <c r="L10">
        <v>10</v>
      </c>
      <c r="M10">
        <v>0</v>
      </c>
      <c r="N10">
        <v>0</v>
      </c>
      <c r="O10">
        <v>0</v>
      </c>
    </row>
    <row r="11" spans="1:15" x14ac:dyDescent="0.2">
      <c r="A11" s="14" t="s">
        <v>13</v>
      </c>
      <c r="B11" s="15"/>
      <c r="C11" s="3">
        <f t="shared" ref="C11:O11" si="0">SUM(C3:C10)</f>
        <v>13340</v>
      </c>
      <c r="D11" s="3">
        <f t="shared" si="0"/>
        <v>11950</v>
      </c>
      <c r="E11" s="3">
        <f t="shared" si="0"/>
        <v>13760</v>
      </c>
      <c r="F11" s="3">
        <f t="shared" si="0"/>
        <v>15690</v>
      </c>
      <c r="G11" s="3">
        <f t="shared" si="0"/>
        <v>7240</v>
      </c>
      <c r="H11" s="3">
        <f t="shared" si="0"/>
        <v>13180</v>
      </c>
      <c r="I11" s="3">
        <f t="shared" si="0"/>
        <v>11700</v>
      </c>
      <c r="J11" s="3">
        <f t="shared" si="0"/>
        <v>15240</v>
      </c>
      <c r="K11" s="3">
        <f t="shared" si="0"/>
        <v>7940</v>
      </c>
      <c r="L11" s="3">
        <f t="shared" si="0"/>
        <v>5240</v>
      </c>
      <c r="M11" s="3">
        <f t="shared" si="0"/>
        <v>5760</v>
      </c>
      <c r="N11" s="3">
        <f t="shared" si="0"/>
        <v>5790</v>
      </c>
      <c r="O11" s="3">
        <f t="shared" si="0"/>
        <v>4820</v>
      </c>
    </row>
    <row r="12" spans="1:15" x14ac:dyDescent="0.2">
      <c r="A12" s="11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7"/>
      <c r="C13" s="16" t="s">
        <v>35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2">
      <c r="A14" s="10" t="s">
        <v>15</v>
      </c>
      <c r="B14" s="19" t="s">
        <v>40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1" t="s">
        <v>8</v>
      </c>
      <c r="L14" s="1" t="s">
        <v>9</v>
      </c>
      <c r="M14" s="1" t="s">
        <v>10</v>
      </c>
      <c r="N14" s="1" t="s">
        <v>11</v>
      </c>
      <c r="O14" s="1" t="s">
        <v>12</v>
      </c>
    </row>
    <row r="15" spans="1:15" x14ac:dyDescent="0.2">
      <c r="A15" s="6" t="s">
        <v>20</v>
      </c>
      <c r="B15" s="2" t="s">
        <v>14</v>
      </c>
      <c r="C15">
        <v>6200</v>
      </c>
      <c r="D15">
        <v>9310</v>
      </c>
      <c r="E15">
        <v>10790</v>
      </c>
      <c r="F15">
        <v>8160</v>
      </c>
      <c r="G15">
        <v>6990</v>
      </c>
      <c r="H15">
        <v>10250</v>
      </c>
      <c r="I15">
        <v>6800</v>
      </c>
      <c r="J15">
        <v>9320</v>
      </c>
      <c r="K15">
        <v>7510</v>
      </c>
      <c r="L15">
        <v>6860</v>
      </c>
      <c r="M15">
        <v>5900</v>
      </c>
      <c r="N15">
        <v>6940</v>
      </c>
      <c r="O15">
        <v>4870</v>
      </c>
    </row>
    <row r="16" spans="1:15" x14ac:dyDescent="0.2">
      <c r="A16" s="6" t="s">
        <v>21</v>
      </c>
      <c r="B16" s="2" t="s">
        <v>14</v>
      </c>
      <c r="C16">
        <v>2500</v>
      </c>
      <c r="D16">
        <v>5420</v>
      </c>
      <c r="E16">
        <v>5640</v>
      </c>
      <c r="F16">
        <v>4870</v>
      </c>
      <c r="G16">
        <v>3930</v>
      </c>
      <c r="H16">
        <v>5820</v>
      </c>
      <c r="I16">
        <v>3610</v>
      </c>
      <c r="J16">
        <v>5800</v>
      </c>
      <c r="K16">
        <v>4190</v>
      </c>
      <c r="L16">
        <v>3490</v>
      </c>
      <c r="M16">
        <v>3700</v>
      </c>
      <c r="N16">
        <v>3750</v>
      </c>
      <c r="O16">
        <v>3350</v>
      </c>
    </row>
    <row r="17" spans="1:15" x14ac:dyDescent="0.2">
      <c r="A17" s="6" t="s">
        <v>22</v>
      </c>
      <c r="B17" s="2" t="s">
        <v>17</v>
      </c>
      <c r="C17">
        <v>1020</v>
      </c>
      <c r="D17">
        <v>2470</v>
      </c>
      <c r="E17">
        <v>2500</v>
      </c>
      <c r="F17">
        <v>3090</v>
      </c>
      <c r="G17">
        <v>2740</v>
      </c>
      <c r="H17">
        <v>4060</v>
      </c>
      <c r="I17">
        <v>2020</v>
      </c>
      <c r="J17">
        <v>3840</v>
      </c>
      <c r="K17">
        <v>2100</v>
      </c>
      <c r="L17">
        <v>3610</v>
      </c>
      <c r="M17">
        <v>3200</v>
      </c>
      <c r="N17">
        <v>3940</v>
      </c>
      <c r="O17">
        <v>2010</v>
      </c>
    </row>
    <row r="18" spans="1:15" x14ac:dyDescent="0.2">
      <c r="A18" s="6" t="s">
        <v>27</v>
      </c>
      <c r="B18" s="2" t="s">
        <v>36</v>
      </c>
      <c r="C18">
        <v>150</v>
      </c>
      <c r="D18">
        <v>260</v>
      </c>
      <c r="E18">
        <v>450</v>
      </c>
      <c r="F18">
        <v>460</v>
      </c>
      <c r="G18">
        <v>430</v>
      </c>
      <c r="H18">
        <v>280</v>
      </c>
      <c r="I18">
        <v>400</v>
      </c>
      <c r="J18">
        <v>530</v>
      </c>
      <c r="K18">
        <v>340</v>
      </c>
      <c r="L18">
        <v>430</v>
      </c>
      <c r="M18">
        <v>760</v>
      </c>
      <c r="N18">
        <v>700</v>
      </c>
      <c r="O18">
        <v>470</v>
      </c>
    </row>
    <row r="19" spans="1:15" x14ac:dyDescent="0.2">
      <c r="A19" s="6" t="s">
        <v>37</v>
      </c>
      <c r="B19" s="2" t="s">
        <v>18</v>
      </c>
      <c r="C19">
        <v>0</v>
      </c>
      <c r="D19">
        <v>80</v>
      </c>
      <c r="E19">
        <v>0</v>
      </c>
      <c r="F19">
        <v>40</v>
      </c>
      <c r="G19">
        <v>50</v>
      </c>
      <c r="H19">
        <v>40</v>
      </c>
      <c r="I19">
        <v>50</v>
      </c>
      <c r="J19">
        <v>60</v>
      </c>
      <c r="K19">
        <v>10</v>
      </c>
      <c r="L19">
        <v>10</v>
      </c>
      <c r="M19">
        <v>70</v>
      </c>
      <c r="N19">
        <v>30</v>
      </c>
      <c r="O19">
        <v>80</v>
      </c>
    </row>
    <row r="20" spans="1:15" x14ac:dyDescent="0.2">
      <c r="A20" s="6" t="s">
        <v>38</v>
      </c>
      <c r="B20" s="2" t="s">
        <v>39</v>
      </c>
      <c r="C20">
        <v>0</v>
      </c>
      <c r="D20">
        <v>20</v>
      </c>
      <c r="E20">
        <v>20</v>
      </c>
      <c r="F20">
        <v>10</v>
      </c>
      <c r="G20">
        <v>0</v>
      </c>
      <c r="H20">
        <v>10</v>
      </c>
      <c r="I20">
        <v>40</v>
      </c>
      <c r="J20">
        <v>120</v>
      </c>
      <c r="K20">
        <v>20</v>
      </c>
      <c r="L20">
        <v>80</v>
      </c>
      <c r="M20">
        <v>20</v>
      </c>
      <c r="N20">
        <v>90</v>
      </c>
      <c r="O20">
        <v>20</v>
      </c>
    </row>
    <row r="21" spans="1:15" ht="16" thickBot="1" x14ac:dyDescent="0.25">
      <c r="A21" s="17" t="s">
        <v>13</v>
      </c>
      <c r="B21" s="18"/>
      <c r="C21" s="12">
        <f t="shared" ref="C21:O21" si="1">SUM(C13:C20)</f>
        <v>9870</v>
      </c>
      <c r="D21" s="12">
        <f t="shared" si="1"/>
        <v>17560</v>
      </c>
      <c r="E21" s="12">
        <f t="shared" si="1"/>
        <v>19400</v>
      </c>
      <c r="F21" s="12">
        <f t="shared" si="1"/>
        <v>16630</v>
      </c>
      <c r="G21" s="12">
        <f t="shared" si="1"/>
        <v>14140</v>
      </c>
      <c r="H21" s="12">
        <f t="shared" si="1"/>
        <v>20460</v>
      </c>
      <c r="I21" s="12">
        <f t="shared" si="1"/>
        <v>12920</v>
      </c>
      <c r="J21" s="12">
        <f t="shared" si="1"/>
        <v>19670</v>
      </c>
      <c r="K21" s="12">
        <f t="shared" si="1"/>
        <v>14170</v>
      </c>
      <c r="L21" s="12">
        <f t="shared" si="1"/>
        <v>14480</v>
      </c>
      <c r="M21" s="12">
        <f t="shared" si="1"/>
        <v>13650</v>
      </c>
      <c r="N21" s="12">
        <f t="shared" si="1"/>
        <v>15450</v>
      </c>
      <c r="O21" s="12">
        <f t="shared" si="1"/>
        <v>10800</v>
      </c>
    </row>
  </sheetData>
  <mergeCells count="4">
    <mergeCell ref="C1:O1"/>
    <mergeCell ref="A11:B11"/>
    <mergeCell ref="C13:O13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2026-07-03T12:13:16Z</cp:lastPrinted>
  <dcterms:created xsi:type="dcterms:W3CDTF">2006-09-16T00:00:00Z</dcterms:created>
  <dcterms:modified xsi:type="dcterms:W3CDTF">2026-09-07T12:10:01Z</dcterms:modified>
</cp:coreProperties>
</file>