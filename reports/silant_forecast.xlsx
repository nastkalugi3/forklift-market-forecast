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Уровень плана" sheetId="2" state="visible" r:id="rId2"/>
    <sheet name="Прогноз 4 кв по кварталам" sheetId="3" state="visible" r:id="rId3"/>
    <sheet name="Сценарии 8 кв" sheetId="4" state="visible" r:id="rId4"/>
    <sheet name="Допущения" sheetId="5" state="visible" r:id="rId5"/>
    <sheet name="Факт рынка" sheetId="6" state="visible" r:id="rId6"/>
    <sheet name="Внешние факторы" sheetId="7" state="visible" r:id="rId7"/>
    <sheet name="Источники" sheetId="8" state="visible" r:id="rId8"/>
    <sheet name="Валидация" sheetId="9" state="visible" r:id="rId9"/>
    <sheet name="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0.0%"/>
  </numFmts>
  <fonts count="6">
    <font>
      <name val="Calibri"/>
      <family val="2"/>
      <color theme="1"/>
      <sz val="11"/>
      <scheme val="minor"/>
    </font>
    <font>
      <name val="Arial"/>
      <i val="1"/>
      <color rgb="0052514E"/>
      <sz val="9"/>
    </font>
    <font>
      <name val="Arial"/>
      <b val="1"/>
      <sz val="10"/>
    </font>
    <font>
      <name val="Arial"/>
      <sz val="10"/>
    </font>
    <font>
      <name val="Arial"/>
      <b val="1"/>
    </font>
    <font>
      <name val="Arial"/>
      <color rgb="0052514E"/>
      <sz val="10"/>
    </font>
  </fonts>
  <fills count="3">
    <fill>
      <patternFill/>
    </fill>
    <fill>
      <patternFill patternType="gray125"/>
    </fill>
    <fill>
      <patternFill patternType="solid">
        <fgColor rgb="00E8E6DF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pipeline</author>
  </authors>
  <commentList>
    <comment ref="F4" authorId="0" shapeId="0">
      <text>
        <t>Формула: медиана прогноза / факт за последние 4 квартала − 1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Прогноз на 4 квартала (2026Q2–2027Q1) по данным до 2026Q1. Модель «Комбинация» (Наивный+ETS+ARX), согласованная. Запуск 2026-10-15 14:34.</t>
        </is>
      </c>
    </row>
    <row r="3">
      <c r="A3" s="2" t="inlineStr">
        <is>
          <t>ряд</t>
        </is>
      </c>
      <c r="B3" s="2" t="inlineStr">
        <is>
          <t>факт: последние 4 кв., шт.</t>
        </is>
      </c>
      <c r="C3" s="2" t="inlineStr">
        <is>
          <t>P10, шт.</t>
        </is>
      </c>
      <c r="D3" s="2" t="inlineStr">
        <is>
          <t>медиана, шт.</t>
        </is>
      </c>
      <c r="E3" s="2" t="inlineStr">
        <is>
          <t>P90, шт.</t>
        </is>
      </c>
      <c r="F3" s="3" t="inlineStr">
        <is>
          <t>изм. медианы к факту</t>
        </is>
      </c>
    </row>
    <row r="4">
      <c r="A4" s="4" t="inlineStr">
        <is>
          <t>Рынок</t>
        </is>
      </c>
      <c r="B4" s="5" t="n">
        <v>75990</v>
      </c>
      <c r="C4" s="5" t="n">
        <v>64852.40208027714</v>
      </c>
      <c r="D4" s="5" t="n">
        <v>89220.87169253541</v>
      </c>
      <c r="E4" s="5" t="n">
        <v>120401.5475630453</v>
      </c>
      <c r="F4" s="6">
        <f>IF(B4=0,"-",D4/B4-1)</f>
        <v/>
      </c>
    </row>
    <row r="5">
      <c r="A5" s="4" t="inlineStr">
        <is>
          <t>ДВС</t>
        </is>
      </c>
      <c r="B5" s="5" t="n">
        <v>21610</v>
      </c>
      <c r="C5" s="5" t="n">
        <v>15756.23528936948</v>
      </c>
      <c r="D5" s="5" t="n">
        <v>29902.57325900377</v>
      </c>
      <c r="E5" s="5" t="n">
        <v>49629.3213030901</v>
      </c>
      <c r="F5" s="6">
        <f>IF(B5=0,"-",D5/B5-1)</f>
        <v/>
      </c>
    </row>
    <row r="6">
      <c r="A6" s="4" t="inlineStr">
        <is>
          <t>Электро</t>
        </is>
      </c>
      <c r="B6" s="5" t="n">
        <v>54380</v>
      </c>
      <c r="C6" s="5" t="n">
        <v>42274.60145044604</v>
      </c>
      <c r="D6" s="5" t="n">
        <v>58724.43673798787</v>
      </c>
      <c r="E6" s="5" t="n">
        <v>80209.75858632996</v>
      </c>
      <c r="F6" s="6">
        <f>IF(B6=0,"-",D6/B6-1)</f>
        <v/>
      </c>
    </row>
    <row r="7">
      <c r="A7" s="4" t="inlineStr">
        <is>
          <t>ДВС 1–1,8 т</t>
        </is>
      </c>
      <c r="B7" s="5" t="n">
        <v>5860</v>
      </c>
      <c r="C7" s="5" t="n">
        <v>3454.771834518579</v>
      </c>
      <c r="D7" s="5" t="n">
        <v>7541.595162263831</v>
      </c>
      <c r="E7" s="5" t="n">
        <v>14650.90602244912</v>
      </c>
      <c r="F7" s="6">
        <f>IF(B7=0,"-",D7/B7-1)</f>
        <v/>
      </c>
    </row>
    <row r="8">
      <c r="A8" s="4" t="inlineStr">
        <is>
          <t>ДВС 2–2,5 т</t>
        </is>
      </c>
      <c r="B8" s="5" t="n">
        <v>4830</v>
      </c>
      <c r="C8" s="5" t="n">
        <v>3053.218481907381</v>
      </c>
      <c r="D8" s="5" t="n">
        <v>6747.60098287007</v>
      </c>
      <c r="E8" s="5" t="n">
        <v>11405.35986701361</v>
      </c>
      <c r="F8" s="6">
        <f>IF(B8=0,"-",D8/B8-1)</f>
        <v/>
      </c>
    </row>
    <row r="9">
      <c r="A9" s="4" t="inlineStr">
        <is>
          <t>ДВС 3–3,5 т</t>
        </is>
      </c>
      <c r="B9" s="5" t="n">
        <v>8440</v>
      </c>
      <c r="C9" s="5" t="n">
        <v>5201.283930972655</v>
      </c>
      <c r="D9" s="5" t="n">
        <v>11624.22444626403</v>
      </c>
      <c r="E9" s="5" t="n">
        <v>22104.86102420497</v>
      </c>
      <c r="F9" s="6">
        <f>IF(B9=0,"-",D9/B9-1)</f>
        <v/>
      </c>
    </row>
    <row r="10">
      <c r="A10" s="4" t="inlineStr">
        <is>
          <t>ДВС 3,8–5 т</t>
        </is>
      </c>
      <c r="B10" s="5" t="n">
        <v>1580</v>
      </c>
      <c r="C10" s="5" t="n">
        <v>1006.488469440798</v>
      </c>
      <c r="D10" s="5" t="n">
        <v>1784.269903758688</v>
      </c>
      <c r="E10" s="5" t="n">
        <v>3158.88173358383</v>
      </c>
      <c r="F10" s="6">
        <f>IF(B10=0,"-",D10/B10-1)</f>
        <v/>
      </c>
    </row>
    <row r="11">
      <c r="A11" s="4" t="inlineStr">
        <is>
          <t>ДВС 5,5 т+</t>
        </is>
      </c>
      <c r="B11" s="5" t="n">
        <v>900</v>
      </c>
      <c r="C11" s="5" t="n">
        <v>656.238772718207</v>
      </c>
      <c r="D11" s="5" t="n">
        <v>1115.648737832698</v>
      </c>
      <c r="E11" s="5" t="n">
        <v>1827.979836376735</v>
      </c>
      <c r="F11" s="6">
        <f>IF(B11=0,"-",D11/B11-1)</f>
        <v/>
      </c>
    </row>
    <row r="12">
      <c r="A12" s="4" t="inlineStr">
        <is>
          <t>Электро 1–1,8 т</t>
        </is>
      </c>
      <c r="B12" s="5" t="n">
        <v>24570</v>
      </c>
      <c r="C12" s="5" t="n">
        <v>19054.1930716793</v>
      </c>
      <c r="D12" s="5" t="n">
        <v>27152.18088215419</v>
      </c>
      <c r="E12" s="5" t="n">
        <v>37380.84908103363</v>
      </c>
      <c r="F12" s="6">
        <f>IF(B12=0,"-",D12/B12-1)</f>
        <v/>
      </c>
    </row>
    <row r="13">
      <c r="A13" s="4" t="inlineStr">
        <is>
          <t>Электро 2–2,5 т</t>
        </is>
      </c>
      <c r="B13" s="5" t="n">
        <v>14290</v>
      </c>
      <c r="C13" s="5" t="n">
        <v>10717.6764457949</v>
      </c>
      <c r="D13" s="5" t="n">
        <v>16998.69209868916</v>
      </c>
      <c r="E13" s="5" t="n">
        <v>24636.29880967149</v>
      </c>
      <c r="F13" s="6">
        <f>IF(B13=0,"-",D13/B13-1)</f>
        <v/>
      </c>
    </row>
    <row r="14">
      <c r="A14" s="4" t="inlineStr">
        <is>
          <t>Электро 3–3,5 т</t>
        </is>
      </c>
      <c r="B14" s="5" t="n">
        <v>12760</v>
      </c>
      <c r="C14" s="5" t="n">
        <v>6043.248801145023</v>
      </c>
      <c r="D14" s="5" t="n">
        <v>11107.60479115924</v>
      </c>
      <c r="E14" s="5" t="n">
        <v>17249.34735579937</v>
      </c>
      <c r="F14" s="6">
        <f>IF(B14=0,"-",D14/B14-1)</f>
        <v/>
      </c>
    </row>
    <row r="15">
      <c r="A15" s="4" t="inlineStr">
        <is>
          <t>Электро 3,8–5 т</t>
        </is>
      </c>
      <c r="B15" s="5" t="n">
        <v>2360</v>
      </c>
      <c r="C15" s="5" t="n">
        <v>1164.599416501302</v>
      </c>
      <c r="D15" s="5" t="n">
        <v>2323.455832663832</v>
      </c>
      <c r="E15" s="5" t="n">
        <v>4607.373595304856</v>
      </c>
      <c r="F15" s="6">
        <f>IF(B15=0,"-",D15/B15-1)</f>
        <v/>
      </c>
    </row>
    <row r="16">
      <c r="A16" s="4" t="inlineStr">
        <is>
          <t>Электро 5,5 т+</t>
        </is>
      </c>
      <c r="B16" s="5" t="n">
        <v>400</v>
      </c>
      <c r="C16" s="5" t="n">
        <v>115.058618286134</v>
      </c>
      <c r="D16" s="5" t="n">
        <v>438.5694299641849</v>
      </c>
      <c r="E16" s="5" t="n">
        <v>1898.654965184809</v>
      </c>
      <c r="F16" s="6">
        <f>IF(B16=0,"-",D16/B16-1)</f>
        <v/>
      </c>
    </row>
    <row r="19">
      <c r="A19" s="7" t="inlineStr">
        <is>
          <t>Доля электропогрузчиков (прогноз по кварталам)</t>
        </is>
      </c>
    </row>
    <row r="20">
      <c r="A20" s="3" t="inlineStr">
        <is>
          <t>кв</t>
        </is>
      </c>
      <c r="B20" s="3" t="inlineStr">
        <is>
          <t>медиана</t>
        </is>
      </c>
      <c r="C20" s="3" t="inlineStr">
        <is>
          <t>P10</t>
        </is>
      </c>
      <c r="D20" s="3" t="inlineStr">
        <is>
          <t>P90</t>
        </is>
      </c>
      <c r="E20" s="3" t="inlineStr">
        <is>
          <t>P2.5</t>
        </is>
      </c>
      <c r="F20" s="3" t="inlineStr">
        <is>
          <t>P97.5</t>
        </is>
      </c>
    </row>
    <row r="21">
      <c r="A21" s="4" t="inlineStr">
        <is>
          <t>II кв. 2026</t>
        </is>
      </c>
      <c r="B21" s="8" t="n">
        <v>0.6625086107698667</v>
      </c>
      <c r="C21" s="8" t="n">
        <v>0.5880966283325891</v>
      </c>
      <c r="D21" s="8" t="n">
        <v>0.8056049584649104</v>
      </c>
      <c r="E21" s="8" t="n">
        <v>0.5263045716172786</v>
      </c>
      <c r="F21" s="8" t="n">
        <v>0.8257699659200928</v>
      </c>
    </row>
    <row r="22">
      <c r="A22" s="4" t="inlineStr">
        <is>
          <t>III кв. 2026</t>
        </is>
      </c>
      <c r="B22" s="8" t="n">
        <v>0.668131425111552</v>
      </c>
      <c r="C22" s="8" t="n">
        <v>0.5244809987603865</v>
      </c>
      <c r="D22" s="8" t="n">
        <v>0.80463445768174</v>
      </c>
      <c r="E22" s="8" t="n">
        <v>0.4568091225379947</v>
      </c>
      <c r="F22" s="8" t="n">
        <v>0.8708170098516063</v>
      </c>
    </row>
    <row r="23">
      <c r="A23" s="4" t="inlineStr">
        <is>
          <t>IV кв. 2026</t>
        </is>
      </c>
      <c r="B23" s="8" t="n">
        <v>0.6667819123733402</v>
      </c>
      <c r="C23" s="8" t="n">
        <v>0.4937977438929373</v>
      </c>
      <c r="D23" s="8" t="n">
        <v>0.8226331066351885</v>
      </c>
      <c r="E23" s="8" t="n">
        <v>0.4102947693342638</v>
      </c>
      <c r="F23" s="8" t="n">
        <v>0.8777279384963255</v>
      </c>
    </row>
    <row r="24">
      <c r="A24" s="4" t="inlineStr">
        <is>
          <t>I кв. 2027</t>
        </is>
      </c>
      <c r="B24" s="8" t="n">
        <v>0.6643583981215349</v>
      </c>
      <c r="C24" s="8" t="n">
        <v>0.4685155219308264</v>
      </c>
      <c r="D24" s="8" t="n">
        <v>0.8306159329831013</v>
      </c>
      <c r="E24" s="8" t="n">
        <v>0.3762590468581931</v>
      </c>
      <c r="F24" s="8" t="n">
        <v>0.8982323181069503</v>
      </c>
    </row>
    <row r="26">
      <c r="A26" s="7" t="inlineStr">
        <is>
          <t>Решающее правило по ДВС</t>
        </is>
      </c>
    </row>
    <row r="27">
      <c r="A27" s="9" t="inlineStr">
        <is>
          <t>факт</t>
        </is>
      </c>
      <c r="B27" s="4" t="inlineStr">
        <is>
          <t>Факта за II кв. 2026 г. пока нет</t>
        </is>
      </c>
    </row>
    <row r="28">
      <c r="A28" s="9" t="inlineStr">
        <is>
          <t>вывод</t>
        </is>
      </c>
      <c r="B28" s="10" t="inlineStr">
        <is>
          <t>ожидание факта</t>
        </is>
      </c>
    </row>
    <row r="29">
      <c r="A29" s="9" t="inlineStr">
        <is>
          <t>действие</t>
        </is>
      </c>
      <c r="B29" s="4" t="inlineStr">
        <is>
          <t>сумма II + III кв. ≤ 13,5 тыс. (+23 % г/г) — спад, ≥ 16,0 тыс. (+45 %) — восстановление, между — ждать IV кв.; II кв. — только предварительный сигнал (граница ≈7,7 тыс.)</t>
        </is>
      </c>
    </row>
    <row r="30">
      <c r="A30" s="9" t="inlineStr">
        <is>
          <t>сценарий спроса</t>
        </is>
      </c>
      <c r="B30" s="4" t="inlineStr">
        <is>
          <t>Спад сохраняется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План = квантиль спроса α = Cu/(Cu+Co): Cu — потеря от недостачи единицы, Co — от излишка. Сумма за 4 квартала, шт. рынка; для завода умножить на долю. Расчёт со своими Cu и Co — рабочая модель Excel, лист «Уровень плана».</t>
        </is>
      </c>
    </row>
    <row r="3">
      <c r="A3" s="2" t="inlineStr">
        <is>
          <t>ряд</t>
        </is>
      </c>
      <c r="B3" s="2" t="inlineStr">
        <is>
          <t>центр</t>
        </is>
      </c>
      <c r="C3" s="2" t="inlineStr">
        <is>
          <t>факт: последние 4 кв.</t>
        </is>
      </c>
      <c r="D3" s="2" t="inlineStr">
        <is>
          <t>Cu:Co = 3 : 1 (α = 0.75)</t>
        </is>
      </c>
      <c r="E3" s="2" t="inlineStr">
        <is>
          <t>Cu:Co = 2 : 1 (α = 0.67)</t>
        </is>
      </c>
      <c r="F3" s="2" t="inlineStr">
        <is>
          <t>Cu:Co = 1 : 1 (α = 0.50)</t>
        </is>
      </c>
      <c r="G3" s="2" t="inlineStr">
        <is>
          <t>Cu:Co = 1 : 2 (α = 0.33)</t>
        </is>
      </c>
      <c r="H3" s="2" t="inlineStr">
        <is>
          <t>Cu:Co = 1 : 3 (α = 0.25)</t>
        </is>
      </c>
    </row>
    <row r="4">
      <c r="A4" s="4" t="inlineStr">
        <is>
          <t>Рынок</t>
        </is>
      </c>
      <c r="B4" s="4" t="inlineStr">
        <is>
          <t>без изменения условий</t>
        </is>
      </c>
      <c r="C4" s="5" t="n">
        <v>75990</v>
      </c>
      <c r="D4" s="5" t="n">
        <v>90879.93178276872</v>
      </c>
      <c r="E4" s="5" t="n">
        <v>85571.00304503954</v>
      </c>
      <c r="F4" s="5" t="n">
        <v>77289.61031764251</v>
      </c>
      <c r="G4" s="5" t="n">
        <v>69898.21505226068</v>
      </c>
      <c r="H4" s="5" t="n">
        <v>66028.64603267783</v>
      </c>
    </row>
    <row r="5">
      <c r="A5" s="4" t="inlineStr">
        <is>
          <t>Рынок</t>
        </is>
      </c>
      <c r="B5" s="4" t="inlineStr">
        <is>
          <t>с эффектом ставки (модель)</t>
        </is>
      </c>
      <c r="C5" s="5" t="n">
        <v>75990</v>
      </c>
      <c r="D5" s="5" t="n">
        <v>104909.1423762285</v>
      </c>
      <c r="E5" s="5" t="n">
        <v>98780.66989736512</v>
      </c>
      <c r="F5" s="5" t="n">
        <v>89220.87169253541</v>
      </c>
      <c r="G5" s="5" t="n">
        <v>80688.46059754878</v>
      </c>
      <c r="H5" s="5" t="n">
        <v>76221.5429926763</v>
      </c>
    </row>
    <row r="6">
      <c r="A6" s="4" t="inlineStr">
        <is>
          <t>ДВС</t>
        </is>
      </c>
      <c r="B6" s="4" t="inlineStr">
        <is>
          <t>без изменения условий</t>
        </is>
      </c>
      <c r="C6" s="5" t="n">
        <v>21610</v>
      </c>
      <c r="D6" s="5" t="n">
        <v>31732.50720596758</v>
      </c>
      <c r="E6" s="5" t="n">
        <v>28649.15637595228</v>
      </c>
      <c r="F6" s="5" t="n">
        <v>23849.93096869634</v>
      </c>
      <c r="G6" s="5" t="n">
        <v>19401.81551886386</v>
      </c>
      <c r="H6" s="5" t="n">
        <v>17279.07093912195</v>
      </c>
    </row>
    <row r="7">
      <c r="A7" s="4" t="inlineStr">
        <is>
          <t>ДВС</t>
        </is>
      </c>
      <c r="B7" s="4" t="inlineStr">
        <is>
          <t>с эффектом ставки (модель)</t>
        </is>
      </c>
      <c r="C7" s="5" t="n">
        <v>21610</v>
      </c>
      <c r="D7" s="5" t="n">
        <v>39785.59194421758</v>
      </c>
      <c r="E7" s="5" t="n">
        <v>35919.74746027514</v>
      </c>
      <c r="F7" s="5" t="n">
        <v>29902.57325900377</v>
      </c>
      <c r="G7" s="5" t="n">
        <v>24325.61380039143</v>
      </c>
      <c r="H7" s="5" t="n">
        <v>21664.15849516648</v>
      </c>
    </row>
    <row r="8">
      <c r="A8" s="4" t="inlineStr">
        <is>
          <t>Электро</t>
        </is>
      </c>
      <c r="B8" s="4" t="inlineStr">
        <is>
          <t>без изменения условий</t>
        </is>
      </c>
      <c r="C8" s="5" t="n">
        <v>54380</v>
      </c>
      <c r="D8" s="5" t="n">
        <v>63094.60303700845</v>
      </c>
      <c r="E8" s="5" t="n">
        <v>59423.17297865219</v>
      </c>
      <c r="F8" s="5" t="n">
        <v>53439.67934894616</v>
      </c>
      <c r="G8" s="5" t="n">
        <v>47684.13081508311</v>
      </c>
      <c r="H8" s="5" t="n">
        <v>44795.60737619241</v>
      </c>
    </row>
    <row r="9">
      <c r="A9" s="4" t="inlineStr">
        <is>
          <t>Электро</t>
        </is>
      </c>
      <c r="B9" s="4" t="inlineStr">
        <is>
          <t>с эффектом ставки (модель)</t>
        </is>
      </c>
      <c r="C9" s="5" t="n">
        <v>54380</v>
      </c>
      <c r="D9" s="5" t="n">
        <v>69334.15525122022</v>
      </c>
      <c r="E9" s="5" t="n">
        <v>65299.65008901548</v>
      </c>
      <c r="F9" s="5" t="n">
        <v>58724.43673798787</v>
      </c>
      <c r="G9" s="5" t="n">
        <v>52399.71043186109</v>
      </c>
      <c r="H9" s="5" t="n">
        <v>49225.53509960067</v>
      </c>
    </row>
    <row r="10">
      <c r="A10" s="4" t="inlineStr">
        <is>
          <t>ДВС 1–1,8 т</t>
        </is>
      </c>
      <c r="B10" s="4" t="inlineStr">
        <is>
          <t>без изменения условий</t>
        </is>
      </c>
      <c r="C10" s="5" t="n">
        <v>5860</v>
      </c>
      <c r="D10" s="5" t="n">
        <v>8637.308120008476</v>
      </c>
      <c r="E10" s="5" t="n">
        <v>7682.890057454964</v>
      </c>
      <c r="F10" s="5" t="n">
        <v>5987.223334465264</v>
      </c>
      <c r="G10" s="5" t="n">
        <v>4654.897416012079</v>
      </c>
      <c r="H10" s="5" t="n">
        <v>3988.010194956187</v>
      </c>
    </row>
    <row r="11">
      <c r="A11" s="4" t="inlineStr">
        <is>
          <t>ДВС 1–1,8 т</t>
        </is>
      </c>
      <c r="B11" s="4" t="inlineStr">
        <is>
          <t>с эффектом ставки (модель)</t>
        </is>
      </c>
      <c r="C11" s="5" t="n">
        <v>5860</v>
      </c>
      <c r="D11" s="5" t="n">
        <v>10879.68119676895</v>
      </c>
      <c r="E11" s="5" t="n">
        <v>9677.482073529856</v>
      </c>
      <c r="F11" s="5" t="n">
        <v>7541.595162263831</v>
      </c>
      <c r="G11" s="5" t="n">
        <v>5863.377708218806</v>
      </c>
      <c r="H11" s="5" t="n">
        <v>5023.356690272284</v>
      </c>
    </row>
    <row r="12">
      <c r="A12" s="4" t="inlineStr">
        <is>
          <t>ДВС 2–2,5 т</t>
        </is>
      </c>
      <c r="B12" s="4" t="inlineStr">
        <is>
          <t>без изменения условий</t>
        </is>
      </c>
      <c r="C12" s="5" t="n">
        <v>4830</v>
      </c>
      <c r="D12" s="5" t="n">
        <v>7773.761834510438</v>
      </c>
      <c r="E12" s="5" t="n">
        <v>7084.387696849473</v>
      </c>
      <c r="F12" s="5" t="n">
        <v>5690.336226971119</v>
      </c>
      <c r="G12" s="5" t="n">
        <v>4483.789451194942</v>
      </c>
      <c r="H12" s="5" t="n">
        <v>3855.222285690665</v>
      </c>
    </row>
    <row r="13">
      <c r="A13" s="4" t="inlineStr">
        <is>
          <t>ДВС 2–2,5 т</t>
        </is>
      </c>
      <c r="B13" s="4" t="inlineStr">
        <is>
          <t>с эффектом ставки (модель)</t>
        </is>
      </c>
      <c r="C13" s="5" t="n">
        <v>4830</v>
      </c>
      <c r="D13" s="5" t="n">
        <v>9218.127172611919</v>
      </c>
      <c r="E13" s="5" t="n">
        <v>8400.667285655061</v>
      </c>
      <c r="F13" s="5" t="n">
        <v>6747.60098287007</v>
      </c>
      <c r="G13" s="5" t="n">
        <v>5316.877755740214</v>
      </c>
      <c r="H13" s="5" t="n">
        <v>4571.522779411494</v>
      </c>
    </row>
    <row r="14">
      <c r="A14" s="4" t="inlineStr">
        <is>
          <t>ДВС 3–3,5 т</t>
        </is>
      </c>
      <c r="B14" s="4" t="inlineStr">
        <is>
          <t>без изменения условий</t>
        </is>
      </c>
      <c r="C14" s="5" t="n">
        <v>8440</v>
      </c>
      <c r="D14" s="5" t="n">
        <v>13680.20250213367</v>
      </c>
      <c r="E14" s="5" t="n">
        <v>12169.56630474838</v>
      </c>
      <c r="F14" s="5" t="n">
        <v>9698.31217814208</v>
      </c>
      <c r="G14" s="5" t="n">
        <v>7490.294818567308</v>
      </c>
      <c r="H14" s="5" t="n">
        <v>6406.681075940403</v>
      </c>
    </row>
    <row r="15">
      <c r="A15" s="4" t="inlineStr">
        <is>
          <t>ДВС 3–3,5 т</t>
        </is>
      </c>
      <c r="B15" s="4" t="inlineStr">
        <is>
          <t>с эффектом ставки (модель)</t>
        </is>
      </c>
      <c r="C15" s="5" t="n">
        <v>8440</v>
      </c>
      <c r="D15" s="5" t="n">
        <v>16396.84735180474</v>
      </c>
      <c r="E15" s="5" t="n">
        <v>14586.22567944469</v>
      </c>
      <c r="F15" s="5" t="n">
        <v>11624.22444626403</v>
      </c>
      <c r="G15" s="5" t="n">
        <v>8977.734119133587</v>
      </c>
      <c r="H15" s="5" t="n">
        <v>7678.933964428277</v>
      </c>
    </row>
    <row r="16">
      <c r="A16" s="4" t="inlineStr">
        <is>
          <t>ДВС 3,8–5 т</t>
        </is>
      </c>
      <c r="B16" s="4" t="inlineStr">
        <is>
          <t>без изменения условий</t>
        </is>
      </c>
      <c r="C16" s="5" t="n">
        <v>1580</v>
      </c>
      <c r="D16" s="5" t="n">
        <v>1753.032233877346</v>
      </c>
      <c r="E16" s="5" t="n">
        <v>1586.551400185942</v>
      </c>
      <c r="F16" s="5" t="n">
        <v>1286.510799141297</v>
      </c>
      <c r="G16" s="5" t="n">
        <v>1041.940516694676</v>
      </c>
      <c r="H16" s="5" t="n">
        <v>921.8290751598864</v>
      </c>
    </row>
    <row r="17">
      <c r="A17" s="4" t="inlineStr">
        <is>
          <t>ДВС 3,8–5 т</t>
        </is>
      </c>
      <c r="B17" s="4" t="inlineStr">
        <is>
          <t>с эффектом ставки (модель)</t>
        </is>
      </c>
      <c r="C17" s="5" t="n">
        <v>1580</v>
      </c>
      <c r="D17" s="5" t="n">
        <v>2431.291410312272</v>
      </c>
      <c r="E17" s="5" t="n">
        <v>2200.398096935892</v>
      </c>
      <c r="F17" s="5" t="n">
        <v>1784.269903758688</v>
      </c>
      <c r="G17" s="5" t="n">
        <v>1445.07384367545</v>
      </c>
      <c r="H17" s="5" t="n">
        <v>1278.490531377844</v>
      </c>
    </row>
    <row r="18">
      <c r="A18" s="4" t="inlineStr">
        <is>
          <t>ДВС 5,5 т+</t>
        </is>
      </c>
      <c r="B18" s="4" t="inlineStr">
        <is>
          <t>без изменения условий</t>
        </is>
      </c>
      <c r="C18" s="5" t="n">
        <v>900</v>
      </c>
      <c r="D18" s="5" t="n">
        <v>1548.668435646097</v>
      </c>
      <c r="E18" s="5" t="n">
        <v>1413.629308005638</v>
      </c>
      <c r="F18" s="5" t="n">
        <v>1187.548429976581</v>
      </c>
      <c r="G18" s="5" t="n">
        <v>1000.399901886945</v>
      </c>
      <c r="H18" s="5" t="n">
        <v>901.25777260196</v>
      </c>
    </row>
    <row r="19">
      <c r="A19" s="4" t="inlineStr">
        <is>
          <t>ДВС 5,5 т+</t>
        </is>
      </c>
      <c r="B19" s="4" t="inlineStr">
        <is>
          <t>с эффектом ставки (модель)</t>
        </is>
      </c>
      <c r="C19" s="5" t="n">
        <v>900</v>
      </c>
      <c r="D19" s="5" t="n">
        <v>1454.904862771768</v>
      </c>
      <c r="E19" s="5" t="n">
        <v>1328.04163049662</v>
      </c>
      <c r="F19" s="5" t="n">
        <v>1115.648737832698</v>
      </c>
      <c r="G19" s="5" t="n">
        <v>939.8310499977968</v>
      </c>
      <c r="H19" s="5" t="n">
        <v>846.6914452365652</v>
      </c>
    </row>
    <row r="20">
      <c r="A20" s="4" t="inlineStr">
        <is>
          <t>Электро 1–1,8 т</t>
        </is>
      </c>
      <c r="B20" s="4" t="inlineStr">
        <is>
          <t>без изменения условий</t>
        </is>
      </c>
      <c r="C20" s="5" t="n">
        <v>24570</v>
      </c>
      <c r="D20" s="5" t="n">
        <v>28391.08675453645</v>
      </c>
      <c r="E20" s="5" t="n">
        <v>26741.95115422858</v>
      </c>
      <c r="F20" s="5" t="n">
        <v>24097.33689160813</v>
      </c>
      <c r="G20" s="5" t="n">
        <v>21476.29173478268</v>
      </c>
      <c r="H20" s="5" t="n">
        <v>19965.58316387844</v>
      </c>
    </row>
    <row r="21">
      <c r="A21" s="4" t="inlineStr">
        <is>
          <t>Электро 1–1,8 т</t>
        </is>
      </c>
      <c r="B21" s="4" t="inlineStr">
        <is>
          <t>с эффектом ставки (модель)</t>
        </is>
      </c>
      <c r="C21" s="5" t="n">
        <v>24570</v>
      </c>
      <c r="D21" s="5" t="n">
        <v>31990.25379723863</v>
      </c>
      <c r="E21" s="5" t="n">
        <v>30132.05559383661</v>
      </c>
      <c r="F21" s="5" t="n">
        <v>27152.18088215419</v>
      </c>
      <c r="G21" s="5" t="n">
        <v>24198.86315586208</v>
      </c>
      <c r="H21" s="5" t="n">
        <v>22496.64051765441</v>
      </c>
    </row>
    <row r="22">
      <c r="A22" s="4" t="inlineStr">
        <is>
          <t>Электро 2–2,5 т</t>
        </is>
      </c>
      <c r="B22" s="4" t="inlineStr">
        <is>
          <t>без изменения условий</t>
        </is>
      </c>
      <c r="C22" s="5" t="n">
        <v>14290</v>
      </c>
      <c r="D22" s="5" t="n">
        <v>20370.747888627</v>
      </c>
      <c r="E22" s="5" t="n">
        <v>19010.25029151778</v>
      </c>
      <c r="F22" s="5" t="n">
        <v>16576.19683508978</v>
      </c>
      <c r="G22" s="5" t="n">
        <v>14294.53256137564</v>
      </c>
      <c r="H22" s="5" t="n">
        <v>13150.61117863101</v>
      </c>
    </row>
    <row r="23">
      <c r="A23" s="4" t="inlineStr">
        <is>
          <t>Электро 2–2,5 т</t>
        </is>
      </c>
      <c r="B23" s="4" t="inlineStr">
        <is>
          <t>с эффектом ставки (модель)</t>
        </is>
      </c>
      <c r="C23" s="5" t="n">
        <v>14290</v>
      </c>
      <c r="D23" s="5" t="n">
        <v>20889.95893471587</v>
      </c>
      <c r="E23" s="5" t="n">
        <v>19494.78487975353</v>
      </c>
      <c r="F23" s="5" t="n">
        <v>16998.69209868916</v>
      </c>
      <c r="G23" s="5" t="n">
        <v>14658.87260647958</v>
      </c>
      <c r="H23" s="5" t="n">
        <v>13485.7948755721</v>
      </c>
    </row>
    <row r="24">
      <c r="A24" s="4" t="inlineStr">
        <is>
          <t>Электро 3–3,5 т</t>
        </is>
      </c>
      <c r="B24" s="4" t="inlineStr">
        <is>
          <t>без изменения условий</t>
        </is>
      </c>
      <c r="C24" s="5" t="n">
        <v>12760</v>
      </c>
      <c r="D24" s="5" t="n">
        <v>12742.71686605017</v>
      </c>
      <c r="E24" s="5" t="n">
        <v>11716.14877348902</v>
      </c>
      <c r="F24" s="5" t="n">
        <v>9945.71810105387</v>
      </c>
      <c r="G24" s="5" t="n">
        <v>8197.764988505367</v>
      </c>
      <c r="H24" s="5" t="n">
        <v>7374.545532303357</v>
      </c>
    </row>
    <row r="25">
      <c r="A25" s="4" t="inlineStr">
        <is>
          <t>Электро 3–3,5 т</t>
        </is>
      </c>
      <c r="B25" s="4" t="inlineStr">
        <is>
          <t>с эффектом ставки (модель)</t>
        </is>
      </c>
      <c r="C25" s="5" t="n">
        <v>12760</v>
      </c>
      <c r="D25" s="5" t="n">
        <v>14231.35679853288</v>
      </c>
      <c r="E25" s="5" t="n">
        <v>13084.86214148291</v>
      </c>
      <c r="F25" s="5" t="n">
        <v>11107.60479115924</v>
      </c>
      <c r="G25" s="5" t="n">
        <v>9155.450892326317</v>
      </c>
      <c r="H25" s="5" t="n">
        <v>8236.060629805603</v>
      </c>
    </row>
    <row r="26">
      <c r="A26" s="4" t="inlineStr">
        <is>
          <t>Электро 3,8–5 т</t>
        </is>
      </c>
      <c r="B26" s="4" t="inlineStr">
        <is>
          <t>без изменения условий</t>
        </is>
      </c>
      <c r="C26" s="5" t="n">
        <v>2360</v>
      </c>
      <c r="D26" s="5" t="n">
        <v>3351.577688944119</v>
      </c>
      <c r="E26" s="5" t="n">
        <v>2956.840711178467</v>
      </c>
      <c r="F26" s="5" t="n">
        <v>2325.615675370805</v>
      </c>
      <c r="G26" s="5" t="n">
        <v>1818.950086025112</v>
      </c>
      <c r="H26" s="5" t="n">
        <v>1602.229369411258</v>
      </c>
    </row>
    <row r="27">
      <c r="A27" s="4" t="inlineStr">
        <is>
          <t>Электро 3,8–5 т</t>
        </is>
      </c>
      <c r="B27" s="4" t="inlineStr">
        <is>
          <t>с эффектом ставки (модель)</t>
        </is>
      </c>
      <c r="C27" s="5" t="n">
        <v>2360</v>
      </c>
      <c r="D27" s="5" t="n">
        <v>3348.465016156013</v>
      </c>
      <c r="E27" s="5" t="n">
        <v>2954.094637993051</v>
      </c>
      <c r="F27" s="5" t="n">
        <v>2323.455832663832</v>
      </c>
      <c r="G27" s="5" t="n">
        <v>1817.260793112592</v>
      </c>
      <c r="H27" s="5" t="n">
        <v>1600.741349075366</v>
      </c>
    </row>
    <row r="28">
      <c r="A28" s="4" t="inlineStr">
        <is>
          <t>Электро 5,5 т+</t>
        </is>
      </c>
      <c r="B28" s="4" t="inlineStr">
        <is>
          <t>без изменения условий</t>
        </is>
      </c>
      <c r="C28" s="5" t="n">
        <v>400</v>
      </c>
      <c r="D28" s="5" t="n">
        <v>910.6531634710664</v>
      </c>
      <c r="E28" s="5" t="n">
        <v>706.5885934770541</v>
      </c>
      <c r="F28" s="5" t="n">
        <v>494.8118458235755</v>
      </c>
      <c r="G28" s="5" t="n">
        <v>337.8236564080191</v>
      </c>
      <c r="H28" s="5" t="n">
        <v>267.9972270671813</v>
      </c>
    </row>
    <row r="29">
      <c r="A29" s="4" t="inlineStr">
        <is>
          <t>Электро 5,5 т+</t>
        </is>
      </c>
      <c r="B29" s="4" t="inlineStr">
        <is>
          <t>с эффектом ставки (модель)</t>
        </is>
      </c>
      <c r="C29" s="5" t="n">
        <v>400</v>
      </c>
      <c r="D29" s="5" t="n">
        <v>807.1444573721609</v>
      </c>
      <c r="E29" s="5" t="n">
        <v>626.2747330647314</v>
      </c>
      <c r="F29" s="5" t="n">
        <v>438.5694299641849</v>
      </c>
      <c r="G29" s="5" t="n">
        <v>299.4251848855445</v>
      </c>
      <c r="H29" s="5" t="n">
        <v>237.5355240560328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Интервалы откалиброваны по скользящей проверке на истории (этап 04). Медианы сегментов не складываются точно в итог — аддитивны средние.</t>
        </is>
      </c>
    </row>
    <row r="3">
      <c r="A3" s="2" t="inlineStr">
        <is>
          <t>ряд</t>
        </is>
      </c>
      <c r="B3" s="2" t="inlineStr">
        <is>
          <t>квартал</t>
        </is>
      </c>
      <c r="C3" s="2" t="inlineStr">
        <is>
          <t>P2.5</t>
        </is>
      </c>
      <c r="D3" s="2" t="inlineStr">
        <is>
          <t>P10</t>
        </is>
      </c>
      <c r="E3" s="2" t="inlineStr">
        <is>
          <t>медиана</t>
        </is>
      </c>
      <c r="F3" s="2" t="inlineStr">
        <is>
          <t>P90</t>
        </is>
      </c>
      <c r="G3" s="2" t="inlineStr">
        <is>
          <t>P97.5</t>
        </is>
      </c>
      <c r="H3" s="2" t="inlineStr">
        <is>
          <t>среднее (аддитивно)</t>
        </is>
      </c>
    </row>
    <row r="4">
      <c r="A4" s="4" t="inlineStr">
        <is>
          <t>ДВС</t>
        </is>
      </c>
      <c r="B4" s="4" t="inlineStr">
        <is>
          <t>2026Q2</t>
        </is>
      </c>
      <c r="C4" s="5" t="n">
        <v>2683.981013467036</v>
      </c>
      <c r="D4" s="5" t="n">
        <v>3599.226803228972</v>
      </c>
      <c r="E4" s="5" t="n">
        <v>8004.215794636471</v>
      </c>
      <c r="F4" s="5" t="n">
        <v>11788.92850797141</v>
      </c>
      <c r="G4" s="5" t="n">
        <v>13823.45240674327</v>
      </c>
      <c r="H4" s="5" t="n">
        <v>7850.286156328679</v>
      </c>
    </row>
    <row r="5">
      <c r="A5" s="4" t="inlineStr">
        <is>
          <t>ДВС</t>
        </is>
      </c>
      <c r="B5" s="4" t="inlineStr">
        <is>
          <t>2026Q3</t>
        </is>
      </c>
      <c r="C5" s="5" t="n">
        <v>2032.871476276129</v>
      </c>
      <c r="D5" s="5" t="n">
        <v>3145.77144630337</v>
      </c>
      <c r="E5" s="5" t="n">
        <v>6966.123563423648</v>
      </c>
      <c r="F5" s="5" t="n">
        <v>12400.67039330992</v>
      </c>
      <c r="G5" s="5" t="n">
        <v>15280.73286074181</v>
      </c>
      <c r="H5" s="5" t="n">
        <v>7472.01776278134</v>
      </c>
    </row>
    <row r="6">
      <c r="A6" s="4" t="inlineStr">
        <is>
          <t>ДВС</t>
        </is>
      </c>
      <c r="B6" s="4" t="inlineStr">
        <is>
          <t>2026Q4</t>
        </is>
      </c>
      <c r="C6" s="5" t="n">
        <v>2075.347446373668</v>
      </c>
      <c r="D6" s="5" t="n">
        <v>3311.99423734352</v>
      </c>
      <c r="E6" s="5" t="n">
        <v>8146.436206575408</v>
      </c>
      <c r="F6" s="5" t="n">
        <v>16350.75214720954</v>
      </c>
      <c r="G6" s="5" t="n">
        <v>20236.3874263414</v>
      </c>
      <c r="H6" s="5" t="n">
        <v>9058.382699254236</v>
      </c>
    </row>
    <row r="7">
      <c r="A7" s="4" t="inlineStr">
        <is>
          <t>ДВС</t>
        </is>
      </c>
      <c r="B7" s="4" t="inlineStr">
        <is>
          <t>2027Q1</t>
        </is>
      </c>
      <c r="C7" s="5" t="n">
        <v>1389.525844030579</v>
      </c>
      <c r="D7" s="5" t="n">
        <v>2359.47494277553</v>
      </c>
      <c r="E7" s="5" t="n">
        <v>5980.236928141936</v>
      </c>
      <c r="F7" s="5" t="n">
        <v>13108.09177570389</v>
      </c>
      <c r="G7" s="5" t="n">
        <v>17001.63751705084</v>
      </c>
      <c r="H7" s="5" t="n">
        <v>6945.677811368391</v>
      </c>
    </row>
    <row r="8">
      <c r="A8" s="4" t="inlineStr">
        <is>
          <t>Электро</t>
        </is>
      </c>
      <c r="B8" s="4" t="inlineStr">
        <is>
          <t>2026Q2</t>
        </is>
      </c>
      <c r="C8" s="5" t="n">
        <v>9161.529511598441</v>
      </c>
      <c r="D8" s="5" t="n">
        <v>10722.07795028988</v>
      </c>
      <c r="E8" s="5" t="n">
        <v>16041.16373784888</v>
      </c>
      <c r="F8" s="5" t="n">
        <v>22527.90493600209</v>
      </c>
      <c r="G8" s="5" t="n">
        <v>26104.67877139026</v>
      </c>
      <c r="H8" s="5" t="n">
        <v>16367.14018587519</v>
      </c>
    </row>
    <row r="9">
      <c r="A9" s="4" t="inlineStr">
        <is>
          <t>Электро</t>
        </is>
      </c>
      <c r="B9" s="4" t="inlineStr">
        <is>
          <t>2026Q3</t>
        </is>
      </c>
      <c r="C9" s="5" t="n">
        <v>7464.725856123307</v>
      </c>
      <c r="D9" s="5" t="n">
        <v>9044.323441338149</v>
      </c>
      <c r="E9" s="5" t="n">
        <v>13972.68471712612</v>
      </c>
      <c r="F9" s="5" t="n">
        <v>20739.77881587146</v>
      </c>
      <c r="G9" s="5" t="n">
        <v>24383.02586868199</v>
      </c>
      <c r="H9" s="5" t="n">
        <v>14481.62709305729</v>
      </c>
    </row>
    <row r="10">
      <c r="A10" s="4" t="inlineStr">
        <is>
          <t>Электро</t>
        </is>
      </c>
      <c r="B10" s="4" t="inlineStr">
        <is>
          <t>2026Q4</t>
        </is>
      </c>
      <c r="C10" s="5" t="n">
        <v>8169.366009662974</v>
      </c>
      <c r="D10" s="5" t="n">
        <v>10174.41175762032</v>
      </c>
      <c r="E10" s="5" t="n">
        <v>15840.25225422147</v>
      </c>
      <c r="F10" s="5" t="n">
        <v>24732.1277539566</v>
      </c>
      <c r="G10" s="5" t="n">
        <v>30345.40216479732</v>
      </c>
      <c r="H10" s="5" t="n">
        <v>16808.75021742529</v>
      </c>
    </row>
    <row r="11">
      <c r="A11" s="4" t="inlineStr">
        <is>
          <t>Электро</t>
        </is>
      </c>
      <c r="B11" s="4" t="inlineStr">
        <is>
          <t>2027Q1</t>
        </is>
      </c>
      <c r="C11" s="5" t="n">
        <v>5580.961973411961</v>
      </c>
      <c r="D11" s="5" t="n">
        <v>7203.044453152288</v>
      </c>
      <c r="E11" s="5" t="n">
        <v>11632.35694131409</v>
      </c>
      <c r="F11" s="5" t="n">
        <v>18837.91361642484</v>
      </c>
      <c r="G11" s="5" t="n">
        <v>24149.1489978169</v>
      </c>
      <c r="H11" s="5" t="n">
        <v>12488.80233655162</v>
      </c>
    </row>
    <row r="12">
      <c r="A12" s="4" t="inlineStr">
        <is>
          <t>Рынок</t>
        </is>
      </c>
      <c r="B12" s="4" t="inlineStr">
        <is>
          <t>2026Q2</t>
        </is>
      </c>
      <c r="C12" s="5" t="n">
        <v>12953.09293403465</v>
      </c>
      <c r="D12" s="5" t="n">
        <v>16561.45118199821</v>
      </c>
      <c r="E12" s="5" t="n">
        <v>23402.20496498776</v>
      </c>
      <c r="F12" s="5" t="n">
        <v>33027.54248763641</v>
      </c>
      <c r="G12" s="5" t="n">
        <v>38545.18213373057</v>
      </c>
      <c r="H12" s="5" t="n">
        <v>24217.42634220387</v>
      </c>
    </row>
    <row r="13">
      <c r="A13" s="4" t="inlineStr">
        <is>
          <t>Рынок</t>
        </is>
      </c>
      <c r="B13" s="4" t="inlineStr">
        <is>
          <t>2026Q3</t>
        </is>
      </c>
      <c r="C13" s="5" t="n">
        <v>10859.40509172372</v>
      </c>
      <c r="D13" s="5" t="n">
        <v>14221.82608495031</v>
      </c>
      <c r="E13" s="5" t="n">
        <v>21090.83575926912</v>
      </c>
      <c r="F13" s="5" t="n">
        <v>30897.18434900326</v>
      </c>
      <c r="G13" s="5" t="n">
        <v>37175.30409319672</v>
      </c>
      <c r="H13" s="5" t="n">
        <v>21953.64485583863</v>
      </c>
    </row>
    <row r="14">
      <c r="A14" s="4" t="inlineStr">
        <is>
          <t>Рынок</t>
        </is>
      </c>
      <c r="B14" s="4" t="inlineStr">
        <is>
          <t>2026Q4</t>
        </is>
      </c>
      <c r="C14" s="5" t="n">
        <v>12531.77534084005</v>
      </c>
      <c r="D14" s="5" t="n">
        <v>15813.73020475233</v>
      </c>
      <c r="E14" s="5" t="n">
        <v>24526.42859081002</v>
      </c>
      <c r="F14" s="5" t="n">
        <v>38013.25368815662</v>
      </c>
      <c r="G14" s="5" t="n">
        <v>45765.13777082976</v>
      </c>
      <c r="H14" s="5" t="n">
        <v>25867.13291667953</v>
      </c>
    </row>
    <row r="15">
      <c r="A15" s="4" t="inlineStr">
        <is>
          <t>Рынок</t>
        </is>
      </c>
      <c r="B15" s="4" t="inlineStr">
        <is>
          <t>2027Q1</t>
        </is>
      </c>
      <c r="C15" s="5" t="n">
        <v>8805.078659581442</v>
      </c>
      <c r="D15" s="5" t="n">
        <v>11368.42556469983</v>
      </c>
      <c r="E15" s="5" t="n">
        <v>18395.15160871017</v>
      </c>
      <c r="F15" s="5" t="n">
        <v>28868.61161026776</v>
      </c>
      <c r="G15" s="5" t="n">
        <v>36581.84485155353</v>
      </c>
      <c r="H15" s="5" t="n">
        <v>19434.48014792</v>
      </c>
    </row>
    <row r="16">
      <c r="A16" s="4" t="inlineStr">
        <is>
          <t>ДВС 1–1,8 т</t>
        </is>
      </c>
      <c r="B16" s="4" t="inlineStr">
        <is>
          <t>2026Q2</t>
        </is>
      </c>
      <c r="C16" s="5" t="n">
        <v>625.6148838754996</v>
      </c>
      <c r="D16" s="5" t="n">
        <v>905.9962354254284</v>
      </c>
      <c r="E16" s="5" t="n">
        <v>1878.091552609758</v>
      </c>
      <c r="F16" s="5" t="n">
        <v>3928.364852234485</v>
      </c>
      <c r="G16" s="5" t="n">
        <v>4825.875840527623</v>
      </c>
      <c r="H16" s="5" t="n">
        <v>2193.230304759657</v>
      </c>
    </row>
    <row r="17">
      <c r="A17" s="4" t="inlineStr">
        <is>
          <t>ДВС 1–1,8 т</t>
        </is>
      </c>
      <c r="B17" s="4" t="inlineStr">
        <is>
          <t>2026Q3</t>
        </is>
      </c>
      <c r="C17" s="5" t="n">
        <v>445.5226932789568</v>
      </c>
      <c r="D17" s="5" t="n">
        <v>692.9774648821362</v>
      </c>
      <c r="E17" s="5" t="n">
        <v>1667.954621935148</v>
      </c>
      <c r="F17" s="5" t="n">
        <v>3957.957795131851</v>
      </c>
      <c r="G17" s="5" t="n">
        <v>5500.725136738176</v>
      </c>
      <c r="H17" s="5" t="n">
        <v>2026.269050556171</v>
      </c>
    </row>
    <row r="18">
      <c r="A18" s="4" t="inlineStr">
        <is>
          <t>ДВС 1–1,8 т</t>
        </is>
      </c>
      <c r="B18" s="4" t="inlineStr">
        <is>
          <t>2026Q4</t>
        </is>
      </c>
      <c r="C18" s="5" t="n">
        <v>426.5823901140962</v>
      </c>
      <c r="D18" s="5" t="n">
        <v>690.1378983081339</v>
      </c>
      <c r="E18" s="5" t="n">
        <v>1910.826231623839</v>
      </c>
      <c r="F18" s="5" t="n">
        <v>4901.476775714564</v>
      </c>
      <c r="G18" s="5" t="n">
        <v>7285.316046279168</v>
      </c>
      <c r="H18" s="5" t="n">
        <v>2425.987825664536</v>
      </c>
    </row>
    <row r="19">
      <c r="A19" s="4" t="inlineStr">
        <is>
          <t>ДВС 1–1,8 т</t>
        </is>
      </c>
      <c r="B19" s="4" t="inlineStr">
        <is>
          <t>2027Q1</t>
        </is>
      </c>
      <c r="C19" s="5" t="n">
        <v>237.5985025078919</v>
      </c>
      <c r="D19" s="5" t="n">
        <v>456.2332688908451</v>
      </c>
      <c r="E19" s="5" t="n">
        <v>1425.235528962675</v>
      </c>
      <c r="F19" s="5" t="n">
        <v>3819.378574475638</v>
      </c>
      <c r="G19" s="5" t="n">
        <v>5927.545179369657</v>
      </c>
      <c r="H19" s="5" t="n">
        <v>1846.401924003805</v>
      </c>
    </row>
    <row r="20">
      <c r="A20" s="4" t="inlineStr">
        <is>
          <t>ДВС 2–2,5 т</t>
        </is>
      </c>
      <c r="B20" s="4" t="inlineStr">
        <is>
          <t>2026Q2</t>
        </is>
      </c>
      <c r="C20" s="5" t="n">
        <v>466.544853342695</v>
      </c>
      <c r="D20" s="5" t="n">
        <v>585.5809124688625</v>
      </c>
      <c r="E20" s="5" t="n">
        <v>1870.305979664867</v>
      </c>
      <c r="F20" s="5" t="n">
        <v>2693.067278290017</v>
      </c>
      <c r="G20" s="5" t="n">
        <v>3128.967142156909</v>
      </c>
      <c r="H20" s="5" t="n">
        <v>1775.72371890038</v>
      </c>
    </row>
    <row r="21">
      <c r="A21" s="4" t="inlineStr">
        <is>
          <t>ДВС 2–2,5 т</t>
        </is>
      </c>
      <c r="B21" s="4" t="inlineStr">
        <is>
          <t>2026Q3</t>
        </is>
      </c>
      <c r="C21" s="5" t="n">
        <v>266.9227839296385</v>
      </c>
      <c r="D21" s="5" t="n">
        <v>564.1714193568369</v>
      </c>
      <c r="E21" s="5" t="n">
        <v>1651.874453155144</v>
      </c>
      <c r="F21" s="5" t="n">
        <v>2820.368594150001</v>
      </c>
      <c r="G21" s="5" t="n">
        <v>3386.326978359351</v>
      </c>
      <c r="H21" s="5" t="n">
        <v>1661.460391293315</v>
      </c>
    </row>
    <row r="22">
      <c r="A22" s="4" t="inlineStr">
        <is>
          <t>ДВС 2–2,5 т</t>
        </is>
      </c>
      <c r="B22" s="4" t="inlineStr">
        <is>
          <t>2026Q4</t>
        </is>
      </c>
      <c r="C22" s="5" t="n">
        <v>285.5621275671861</v>
      </c>
      <c r="D22" s="5" t="n">
        <v>602.9370198934104</v>
      </c>
      <c r="E22" s="5" t="n">
        <v>1836.982192974406</v>
      </c>
      <c r="F22" s="5" t="n">
        <v>3737.238198071686</v>
      </c>
      <c r="G22" s="5" t="n">
        <v>4735.102894195357</v>
      </c>
      <c r="H22" s="5" t="n">
        <v>2038.768748101117</v>
      </c>
    </row>
    <row r="23">
      <c r="A23" s="4" t="inlineStr">
        <is>
          <t>ДВС 2–2,5 т</t>
        </is>
      </c>
      <c r="B23" s="4" t="inlineStr">
        <is>
          <t>2027Q1</t>
        </is>
      </c>
      <c r="C23" s="5" t="n">
        <v>193.7829209134966</v>
      </c>
      <c r="D23" s="5" t="n">
        <v>387.9763829511675</v>
      </c>
      <c r="E23" s="5" t="n">
        <v>1346.826713127602</v>
      </c>
      <c r="F23" s="5" t="n">
        <v>3080.26381349462</v>
      </c>
      <c r="G23" s="5" t="n">
        <v>4086.755462314602</v>
      </c>
      <c r="H23" s="5" t="n">
        <v>1567.458527744882</v>
      </c>
    </row>
    <row r="24">
      <c r="A24" s="4" t="inlineStr">
        <is>
          <t>ДВС 3–3,5 т</t>
        </is>
      </c>
      <c r="B24" s="4" t="inlineStr">
        <is>
          <t>2026Q2</t>
        </is>
      </c>
      <c r="C24" s="5" t="n">
        <v>1076.406788912937</v>
      </c>
      <c r="D24" s="5" t="n">
        <v>1276.657125595481</v>
      </c>
      <c r="E24" s="5" t="n">
        <v>3237.247792059683</v>
      </c>
      <c r="F24" s="5" t="n">
        <v>4806.71268070026</v>
      </c>
      <c r="G24" s="5" t="n">
        <v>5520.628279093282</v>
      </c>
      <c r="H24" s="5" t="n">
        <v>3050.021567007881</v>
      </c>
    </row>
    <row r="25">
      <c r="A25" s="4" t="inlineStr">
        <is>
          <t>ДВС 3–3,5 т</t>
        </is>
      </c>
      <c r="B25" s="4" t="inlineStr">
        <is>
          <t>2026Q3</t>
        </is>
      </c>
      <c r="C25" s="5" t="n">
        <v>683.1794862473503</v>
      </c>
      <c r="D25" s="5" t="n">
        <v>985.4455764617936</v>
      </c>
      <c r="E25" s="5" t="n">
        <v>2577.421497495742</v>
      </c>
      <c r="F25" s="5" t="n">
        <v>5540.23723562758</v>
      </c>
      <c r="G25" s="5" t="n">
        <v>6659.406814373846</v>
      </c>
      <c r="H25" s="5" t="n">
        <v>3029.741763766292</v>
      </c>
    </row>
    <row r="26">
      <c r="A26" s="4" t="inlineStr">
        <is>
          <t>ДВС 3–3,5 т</t>
        </is>
      </c>
      <c r="B26" s="4" t="inlineStr">
        <is>
          <t>2026Q4</t>
        </is>
      </c>
      <c r="C26" s="5" t="n">
        <v>538.0911011754705</v>
      </c>
      <c r="D26" s="5" t="n">
        <v>1074.592055822589</v>
      </c>
      <c r="E26" s="5" t="n">
        <v>3076.007122106007</v>
      </c>
      <c r="F26" s="5" t="n">
        <v>7379.580908240912</v>
      </c>
      <c r="G26" s="5" t="n">
        <v>9759.431417375914</v>
      </c>
      <c r="H26" s="5" t="n">
        <v>3697.600516594504</v>
      </c>
    </row>
    <row r="27">
      <c r="A27" s="4" t="inlineStr">
        <is>
          <t>ДВС 3–3,5 т</t>
        </is>
      </c>
      <c r="B27" s="4" t="inlineStr">
        <is>
          <t>2027Q1</t>
        </is>
      </c>
      <c r="C27" s="5" t="n">
        <v>363.4897742547504</v>
      </c>
      <c r="D27" s="5" t="n">
        <v>719.8938080470879</v>
      </c>
      <c r="E27" s="5" t="n">
        <v>2224.540938084028</v>
      </c>
      <c r="F27" s="5" t="n">
        <v>5924.934665490326</v>
      </c>
      <c r="G27" s="5" t="n">
        <v>8510.313098567431</v>
      </c>
      <c r="H27" s="5" t="n">
        <v>2858.103809445994</v>
      </c>
    </row>
    <row r="28">
      <c r="A28" s="4" t="inlineStr">
        <is>
          <t>ДВС 3,8–5 т</t>
        </is>
      </c>
      <c r="B28" s="4" t="inlineStr">
        <is>
          <t>2026Q2</t>
        </is>
      </c>
      <c r="C28" s="5" t="n">
        <v>202.5743892833385</v>
      </c>
      <c r="D28" s="5" t="n">
        <v>252.7154676261808</v>
      </c>
      <c r="E28" s="5" t="n">
        <v>447.1718522370211</v>
      </c>
      <c r="F28" s="5" t="n">
        <v>888.6161740223257</v>
      </c>
      <c r="G28" s="5" t="n">
        <v>1070.001985079064</v>
      </c>
      <c r="H28" s="5" t="n">
        <v>510.5331025718481</v>
      </c>
    </row>
    <row r="29">
      <c r="A29" s="4" t="inlineStr">
        <is>
          <t>ДВС 3,8–5 т</t>
        </is>
      </c>
      <c r="B29" s="4" t="inlineStr">
        <is>
          <t>2026Q3</t>
        </is>
      </c>
      <c r="C29" s="5" t="n">
        <v>151.0623267175864</v>
      </c>
      <c r="D29" s="5" t="n">
        <v>204.1959469086982</v>
      </c>
      <c r="E29" s="5" t="n">
        <v>400.182857365172</v>
      </c>
      <c r="F29" s="5" t="n">
        <v>827.6315068313019</v>
      </c>
      <c r="G29" s="5" t="n">
        <v>1154.330475396798</v>
      </c>
      <c r="H29" s="5" t="n">
        <v>470.1671098529526</v>
      </c>
    </row>
    <row r="30">
      <c r="A30" s="4" t="inlineStr">
        <is>
          <t>ДВС 3,8–5 т</t>
        </is>
      </c>
      <c r="B30" s="4" t="inlineStr">
        <is>
          <t>2026Q4</t>
        </is>
      </c>
      <c r="C30" s="5" t="n">
        <v>160.2401018820194</v>
      </c>
      <c r="D30" s="5" t="n">
        <v>223.4039252100026</v>
      </c>
      <c r="E30" s="5" t="n">
        <v>466.6617521546729</v>
      </c>
      <c r="F30" s="5" t="n">
        <v>1015.143429440242</v>
      </c>
      <c r="G30" s="5" t="n">
        <v>1475.941669120494</v>
      </c>
      <c r="H30" s="5" t="n">
        <v>559.3742210097146</v>
      </c>
    </row>
    <row r="31">
      <c r="A31" s="4" t="inlineStr">
        <is>
          <t>ДВС 3,8–5 т</t>
        </is>
      </c>
      <c r="B31" s="4" t="inlineStr">
        <is>
          <t>2027Q1</t>
        </is>
      </c>
      <c r="C31" s="5" t="n">
        <v>104.1953713177477</v>
      </c>
      <c r="D31" s="5" t="n">
        <v>150.1012879567973</v>
      </c>
      <c r="E31" s="5" t="n">
        <v>345.3747591837624</v>
      </c>
      <c r="F31" s="5" t="n">
        <v>802.94975927665</v>
      </c>
      <c r="G31" s="5" t="n">
        <v>1172.651937389692</v>
      </c>
      <c r="H31" s="5" t="n">
        <v>424.668340647781</v>
      </c>
    </row>
    <row r="32">
      <c r="A32" s="4" t="inlineStr">
        <is>
          <t>ДВС 5,5 т+</t>
        </is>
      </c>
      <c r="B32" s="4" t="inlineStr">
        <is>
          <t>2026Q2</t>
        </is>
      </c>
      <c r="C32" s="5" t="n">
        <v>131.7886319429549</v>
      </c>
      <c r="D32" s="5" t="n">
        <v>161.4274013411716</v>
      </c>
      <c r="E32" s="5" t="n">
        <v>296.8693853336815</v>
      </c>
      <c r="F32" s="5" t="n">
        <v>507.7341730379483</v>
      </c>
      <c r="G32" s="5" t="n">
        <v>618.1620677656667</v>
      </c>
      <c r="H32" s="5" t="n">
        <v>320.7774630889139</v>
      </c>
    </row>
    <row r="33">
      <c r="A33" s="4" t="inlineStr">
        <is>
          <t>ДВС 5,5 т+</t>
        </is>
      </c>
      <c r="B33" s="4" t="inlineStr">
        <is>
          <t>2026Q3</t>
        </is>
      </c>
      <c r="C33" s="5" t="n">
        <v>99.76035941286555</v>
      </c>
      <c r="D33" s="5" t="n">
        <v>133.293182047484</v>
      </c>
      <c r="E33" s="5" t="n">
        <v>258.6960806107886</v>
      </c>
      <c r="F33" s="5" t="n">
        <v>475.3817852867423</v>
      </c>
      <c r="G33" s="5" t="n">
        <v>619.2584935419974</v>
      </c>
      <c r="H33" s="5" t="n">
        <v>284.3794473126098</v>
      </c>
    </row>
    <row r="34">
      <c r="A34" s="4" t="inlineStr">
        <is>
          <t>ДВС 5,5 т+</t>
        </is>
      </c>
      <c r="B34" s="4" t="inlineStr">
        <is>
          <t>2026Q4</t>
        </is>
      </c>
      <c r="C34" s="5" t="n">
        <v>104.9684665753312</v>
      </c>
      <c r="D34" s="5" t="n">
        <v>145.0875506830042</v>
      </c>
      <c r="E34" s="5" t="n">
        <v>296.1416063439395</v>
      </c>
      <c r="F34" s="5" t="n">
        <v>585.2496578054964</v>
      </c>
      <c r="G34" s="5" t="n">
        <v>772.7824818094194</v>
      </c>
      <c r="H34" s="5" t="n">
        <v>336.6513878843663</v>
      </c>
    </row>
    <row r="35">
      <c r="A35" s="4" t="inlineStr">
        <is>
          <t>ДВС 5,5 т+</t>
        </is>
      </c>
      <c r="B35" s="4" t="inlineStr">
        <is>
          <t>2027Q1</t>
        </is>
      </c>
      <c r="C35" s="5" t="n">
        <v>67.91445866174929</v>
      </c>
      <c r="D35" s="5" t="n">
        <v>99.03061996911217</v>
      </c>
      <c r="E35" s="5" t="n">
        <v>217.1587462654776</v>
      </c>
      <c r="F35" s="5" t="n">
        <v>443.4834422509448</v>
      </c>
      <c r="G35" s="5" t="n">
        <v>590.6307245692512</v>
      </c>
      <c r="H35" s="5" t="n">
        <v>249.0452095259293</v>
      </c>
    </row>
    <row r="36">
      <c r="A36" s="4" t="inlineStr">
        <is>
          <t>Электро 1–1,8 т</t>
        </is>
      </c>
      <c r="B36" s="4" t="inlineStr">
        <is>
          <t>2026Q2</t>
        </is>
      </c>
      <c r="C36" s="5" t="n">
        <v>4178.474471524419</v>
      </c>
      <c r="D36" s="5" t="n">
        <v>4938.478695158622</v>
      </c>
      <c r="E36" s="5" t="n">
        <v>7384.508271393037</v>
      </c>
      <c r="F36" s="5" t="n">
        <v>10749.0155485138</v>
      </c>
      <c r="G36" s="5" t="n">
        <v>12802.0836316625</v>
      </c>
      <c r="H36" s="5" t="n">
        <v>7660.019886629851</v>
      </c>
    </row>
    <row r="37">
      <c r="A37" s="4" t="inlineStr">
        <is>
          <t>Электро 1–1,8 т</t>
        </is>
      </c>
      <c r="B37" s="4" t="inlineStr">
        <is>
          <t>2026Q3</t>
        </is>
      </c>
      <c r="C37" s="5" t="n">
        <v>3251.762732286061</v>
      </c>
      <c r="D37" s="5" t="n">
        <v>4082.393682003846</v>
      </c>
      <c r="E37" s="5" t="n">
        <v>6387.303497780958</v>
      </c>
      <c r="F37" s="5" t="n">
        <v>9822.003956854116</v>
      </c>
      <c r="G37" s="5" t="n">
        <v>11906.58844795084</v>
      </c>
      <c r="H37" s="5" t="n">
        <v>6714.549320114823</v>
      </c>
    </row>
    <row r="38">
      <c r="A38" s="4" t="inlineStr">
        <is>
          <t>Электро 1–1,8 т</t>
        </is>
      </c>
      <c r="B38" s="4" t="inlineStr">
        <is>
          <t>2026Q4</t>
        </is>
      </c>
      <c r="C38" s="5" t="n">
        <v>3547.062516248555</v>
      </c>
      <c r="D38" s="5" t="n">
        <v>4578.346506092142</v>
      </c>
      <c r="E38" s="5" t="n">
        <v>7225.620914962873</v>
      </c>
      <c r="F38" s="5" t="n">
        <v>11518.14932788427</v>
      </c>
      <c r="G38" s="5" t="n">
        <v>14389.49555585443</v>
      </c>
      <c r="H38" s="5" t="n">
        <v>7689.624361984264</v>
      </c>
    </row>
    <row r="39">
      <c r="A39" s="4" t="inlineStr">
        <is>
          <t>Электро 1–1,8 т</t>
        </is>
      </c>
      <c r="B39" s="4" t="inlineStr">
        <is>
          <t>2027Q1</t>
        </is>
      </c>
      <c r="C39" s="5" t="n">
        <v>2357.141718899024</v>
      </c>
      <c r="D39" s="5" t="n">
        <v>3105.138187640714</v>
      </c>
      <c r="E39" s="5" t="n">
        <v>5245.113159243738</v>
      </c>
      <c r="F39" s="5" t="n">
        <v>8628.891958324924</v>
      </c>
      <c r="G39" s="5" t="n">
        <v>11112.58986053406</v>
      </c>
      <c r="H39" s="5" t="n">
        <v>5652.188520385149</v>
      </c>
    </row>
    <row r="40">
      <c r="A40" s="4" t="inlineStr">
        <is>
          <t>Электро 2–2,5 т</t>
        </is>
      </c>
      <c r="B40" s="4" t="inlineStr">
        <is>
          <t>2026Q2</t>
        </is>
      </c>
      <c r="C40" s="5" t="n">
        <v>2097.73473253624</v>
      </c>
      <c r="D40" s="5" t="n">
        <v>2647.272213472379</v>
      </c>
      <c r="E40" s="5" t="n">
        <v>4758.327661679497</v>
      </c>
      <c r="F40" s="5" t="n">
        <v>6771.815005178901</v>
      </c>
      <c r="G40" s="5" t="n">
        <v>7954.908329416974</v>
      </c>
      <c r="H40" s="5" t="n">
        <v>4752.833956530282</v>
      </c>
    </row>
    <row r="41">
      <c r="A41" s="4" t="inlineStr">
        <is>
          <t>Электро 2–2,5 т</t>
        </is>
      </c>
      <c r="B41" s="4" t="inlineStr">
        <is>
          <t>2026Q3</t>
        </is>
      </c>
      <c r="C41" s="5" t="n">
        <v>1604.126915781872</v>
      </c>
      <c r="D41" s="5" t="n">
        <v>2242.825479560384</v>
      </c>
      <c r="E41" s="5" t="n">
        <v>4076.922272122107</v>
      </c>
      <c r="F41" s="5" t="n">
        <v>6409.564330928013</v>
      </c>
      <c r="G41" s="5" t="n">
        <v>7665.905557664857</v>
      </c>
      <c r="H41" s="5" t="n">
        <v>4205.657335408918</v>
      </c>
    </row>
    <row r="42">
      <c r="A42" s="4" t="inlineStr">
        <is>
          <t>Электро 2–2,5 т</t>
        </is>
      </c>
      <c r="B42" s="4" t="inlineStr">
        <is>
          <t>2026Q4</t>
        </is>
      </c>
      <c r="C42" s="5" t="n">
        <v>1766.40701105658</v>
      </c>
      <c r="D42" s="5" t="n">
        <v>2444.792470321314</v>
      </c>
      <c r="E42" s="5" t="n">
        <v>4567.606247868007</v>
      </c>
      <c r="F42" s="5" t="n">
        <v>7846.717478138547</v>
      </c>
      <c r="G42" s="5" t="n">
        <v>9772.137295752904</v>
      </c>
      <c r="H42" s="5" t="n">
        <v>4888.542579808293</v>
      </c>
    </row>
    <row r="43">
      <c r="A43" s="4" t="inlineStr">
        <is>
          <t>Электро 2–2,5 т</t>
        </is>
      </c>
      <c r="B43" s="4" t="inlineStr">
        <is>
          <t>2027Q1</t>
        </is>
      </c>
      <c r="C43" s="5" t="n">
        <v>1188.995902986091</v>
      </c>
      <c r="D43" s="5" t="n">
        <v>1672.255818064606</v>
      </c>
      <c r="E43" s="5" t="n">
        <v>3292.839006227049</v>
      </c>
      <c r="F43" s="5" t="n">
        <v>6000.468539610761</v>
      </c>
      <c r="G43" s="5" t="n">
        <v>7816.050947911368</v>
      </c>
      <c r="H43" s="5" t="n">
        <v>3621.073130509719</v>
      </c>
    </row>
    <row r="44">
      <c r="A44" s="4" t="inlineStr">
        <is>
          <t>Электро 3–3,5 т</t>
        </is>
      </c>
      <c r="B44" s="4" t="inlineStr">
        <is>
          <t>2026Q2</t>
        </is>
      </c>
      <c r="C44" s="5" t="n">
        <v>1137.846264331755</v>
      </c>
      <c r="D44" s="5" t="n">
        <v>1514.928722251492</v>
      </c>
      <c r="E44" s="5" t="n">
        <v>3142.524587841707</v>
      </c>
      <c r="F44" s="5" t="n">
        <v>4434.958162475774</v>
      </c>
      <c r="G44" s="5" t="n">
        <v>5268.159650626581</v>
      </c>
      <c r="H44" s="5" t="n">
        <v>3075.916309074599</v>
      </c>
    </row>
    <row r="45">
      <c r="A45" s="4" t="inlineStr">
        <is>
          <t>Электро 3–3,5 т</t>
        </is>
      </c>
      <c r="B45" s="4" t="inlineStr">
        <is>
          <t>2026Q3</t>
        </is>
      </c>
      <c r="C45" s="5" t="n">
        <v>836.6641459164307</v>
      </c>
      <c r="D45" s="5" t="n">
        <v>1260.402446355812</v>
      </c>
      <c r="E45" s="5" t="n">
        <v>2668.119206537682</v>
      </c>
      <c r="F45" s="5" t="n">
        <v>4376.564861431008</v>
      </c>
      <c r="G45" s="5" t="n">
        <v>5395.794593463118</v>
      </c>
      <c r="H45" s="5" t="n">
        <v>2752.202921786564</v>
      </c>
    </row>
    <row r="46">
      <c r="A46" s="4" t="inlineStr">
        <is>
          <t>Электро 3–3,5 т</t>
        </is>
      </c>
      <c r="B46" s="4" t="inlineStr">
        <is>
          <t>2026Q4</t>
        </is>
      </c>
      <c r="C46" s="5" t="n">
        <v>796.7631174207603</v>
      </c>
      <c r="D46" s="5" t="n">
        <v>1299.841145719402</v>
      </c>
      <c r="E46" s="5" t="n">
        <v>2964.286546602048</v>
      </c>
      <c r="F46" s="5" t="n">
        <v>5425.130014048248</v>
      </c>
      <c r="G46" s="5" t="n">
        <v>7054.836300664174</v>
      </c>
      <c r="H46" s="5" t="n">
        <v>3218.772680898929</v>
      </c>
    </row>
    <row r="47">
      <c r="A47" s="4" t="inlineStr">
        <is>
          <t>Электро 3–3,5 т</t>
        </is>
      </c>
      <c r="B47" s="4" t="inlineStr">
        <is>
          <t>2027Q1</t>
        </is>
      </c>
      <c r="C47" s="5" t="n">
        <v>469.9986057248519</v>
      </c>
      <c r="D47" s="5" t="n">
        <v>864.3813103070254</v>
      </c>
      <c r="E47" s="5" t="n">
        <v>2147.241796817136</v>
      </c>
      <c r="F47" s="5" t="n">
        <v>4283.085252090103</v>
      </c>
      <c r="G47" s="5" t="n">
        <v>5863.823442745203</v>
      </c>
      <c r="H47" s="5" t="n">
        <v>2413.455919289494</v>
      </c>
    </row>
    <row r="48">
      <c r="A48" s="4" t="inlineStr">
        <is>
          <t>Электро 3,8–5 т</t>
        </is>
      </c>
      <c r="B48" s="4" t="inlineStr">
        <is>
          <t>2026Q2</t>
        </is>
      </c>
      <c r="C48" s="5" t="n">
        <v>180.7985401094622</v>
      </c>
      <c r="D48" s="5" t="n">
        <v>357.272357379444</v>
      </c>
      <c r="E48" s="5" t="n">
        <v>600.2386093811797</v>
      </c>
      <c r="F48" s="5" t="n">
        <v>1344.056540994307</v>
      </c>
      <c r="G48" s="5" t="n">
        <v>1703.246803816237</v>
      </c>
      <c r="H48" s="5" t="n">
        <v>713.4862322943541</v>
      </c>
    </row>
    <row r="49">
      <c r="A49" s="4" t="inlineStr">
        <is>
          <t>Электро 3,8–5 т</t>
        </is>
      </c>
      <c r="B49" s="4" t="inlineStr">
        <is>
          <t>2026Q3</t>
        </is>
      </c>
      <c r="C49" s="5" t="n">
        <v>135.7019395187407</v>
      </c>
      <c r="D49" s="5" t="n">
        <v>219.5742699648128</v>
      </c>
      <c r="E49" s="5" t="n">
        <v>516.003008192773</v>
      </c>
      <c r="F49" s="5" t="n">
        <v>1203.707387147971</v>
      </c>
      <c r="G49" s="5" t="n">
        <v>1777.360500625103</v>
      </c>
      <c r="H49" s="5" t="n">
        <v>635.6491797744136</v>
      </c>
    </row>
    <row r="50">
      <c r="A50" s="4" t="inlineStr">
        <is>
          <t>Электро 3,8–5 т</t>
        </is>
      </c>
      <c r="B50" s="4" t="inlineStr">
        <is>
          <t>2026Q4</t>
        </is>
      </c>
      <c r="C50" s="5" t="n">
        <v>123.3152170499651</v>
      </c>
      <c r="D50" s="5" t="n">
        <v>213.7377573779279</v>
      </c>
      <c r="E50" s="5" t="n">
        <v>590.797876065591</v>
      </c>
      <c r="F50" s="5" t="n">
        <v>1499.44139687825</v>
      </c>
      <c r="G50" s="5" t="n">
        <v>2328.055529167516</v>
      </c>
      <c r="H50" s="5" t="n">
        <v>753.8031648611594</v>
      </c>
    </row>
    <row r="51">
      <c r="A51" s="4" t="inlineStr">
        <is>
          <t>Электро 3,8–5 т</t>
        </is>
      </c>
      <c r="B51" s="4" t="inlineStr">
        <is>
          <t>2027Q1</t>
        </is>
      </c>
      <c r="C51" s="5" t="n">
        <v>77.30875003320035</v>
      </c>
      <c r="D51" s="5" t="n">
        <v>149.221793655262</v>
      </c>
      <c r="E51" s="5" t="n">
        <v>431.2200648085197</v>
      </c>
      <c r="F51" s="5" t="n">
        <v>1146.508090922268</v>
      </c>
      <c r="G51" s="5" t="n">
        <v>1932.049789566229</v>
      </c>
      <c r="H51" s="5" t="n">
        <v>570.2601538657199</v>
      </c>
    </row>
    <row r="52">
      <c r="A52" s="4" t="inlineStr">
        <is>
          <t>Электро 5,5 т+</t>
        </is>
      </c>
      <c r="B52" s="4" t="inlineStr">
        <is>
          <t>2026Q2</t>
        </is>
      </c>
      <c r="C52" s="5" t="n">
        <v>10.15459912119399</v>
      </c>
      <c r="D52" s="5" t="n">
        <v>16.9963104002058</v>
      </c>
      <c r="E52" s="5" t="n">
        <v>116.6935996083786</v>
      </c>
      <c r="F52" s="5" t="n">
        <v>280.5481490240161</v>
      </c>
      <c r="G52" s="5" t="n">
        <v>827.8839377457699</v>
      </c>
      <c r="H52" s="5" t="n">
        <v>164.8838013461038</v>
      </c>
    </row>
    <row r="53">
      <c r="A53" s="4" t="inlineStr">
        <is>
          <t>Электро 5,5 т+</t>
        </is>
      </c>
      <c r="B53" s="4" t="inlineStr">
        <is>
          <t>2026Q3</t>
        </is>
      </c>
      <c r="C53" s="5" t="n">
        <v>0.7154095369716554</v>
      </c>
      <c r="D53" s="5" t="n">
        <v>12.89064852935598</v>
      </c>
      <c r="E53" s="5" t="n">
        <v>95.83610122681108</v>
      </c>
      <c r="F53" s="5" t="n">
        <v>435.0914312349997</v>
      </c>
      <c r="G53" s="5" t="n">
        <v>864.9784817399768</v>
      </c>
      <c r="H53" s="5" t="n">
        <v>173.568335972568</v>
      </c>
    </row>
    <row r="54">
      <c r="A54" s="4" t="inlineStr">
        <is>
          <t>Электро 5,5 т+</t>
        </is>
      </c>
      <c r="B54" s="4" t="inlineStr">
        <is>
          <t>2026Q4</t>
        </is>
      </c>
      <c r="C54" s="5" t="n">
        <v>0.3819340320691455</v>
      </c>
      <c r="D54" s="5" t="n">
        <v>12.48559168941807</v>
      </c>
      <c r="E54" s="5" t="n">
        <v>108.1750254221253</v>
      </c>
      <c r="F54" s="5" t="n">
        <v>610.0175643311513</v>
      </c>
      <c r="G54" s="5" t="n">
        <v>1378.674939473464</v>
      </c>
      <c r="H54" s="5" t="n">
        <v>258.007429872649</v>
      </c>
    </row>
    <row r="55">
      <c r="A55" s="4" t="inlineStr">
        <is>
          <t>Электро 5,5 т+</t>
        </is>
      </c>
      <c r="B55" s="4" t="inlineStr">
        <is>
          <t>2027Q1</t>
        </is>
      </c>
      <c r="C55" s="5" t="n">
        <v>0</v>
      </c>
      <c r="D55" s="5" t="n">
        <v>3.818217133225221</v>
      </c>
      <c r="E55" s="5" t="n">
        <v>75.84730964429005</v>
      </c>
      <c r="F55" s="5" t="n">
        <v>527.2911377137375</v>
      </c>
      <c r="G55" s="5" t="n">
        <v>1390.626798232642</v>
      </c>
      <c r="H55" s="5" t="n">
        <v>231.8246125015311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20" customWidth="1" min="4" max="4"/>
    <col width="20" customWidth="1" min="5" max="5"/>
    <col width="20" customWidth="1" min="6" max="6"/>
    <col width="26" customWidth="1" min="7" max="7"/>
    <col width="26" customWidth="1" min="8" max="8"/>
    <col width="21" customWidth="1" min="9" max="9"/>
    <col width="21" customWidth="1" min="10" max="10"/>
  </cols>
  <sheetData>
    <row r="1">
      <c r="A1" s="1" t="inlineStr">
        <is>
          <t>Суммы за 4 квартала. Слои интервалов — этап 06; сценарные допущения — лист «Допущения».</t>
        </is>
      </c>
    </row>
    <row r="3">
      <c r="A3" s="2" t="inlineStr">
        <is>
          <t>ряд</t>
        </is>
      </c>
      <c r="B3" s="2" t="inlineStr">
        <is>
          <t>период</t>
        </is>
      </c>
      <c r="C3" s="2" t="inlineStr">
        <is>
          <t>сценарий</t>
        </is>
      </c>
      <c r="D3" s="2" t="inlineStr">
        <is>
          <t>медиана (центр)</t>
        </is>
      </c>
      <c r="E3" s="2" t="inlineStr">
        <is>
          <t>P10 L1 статист.</t>
        </is>
      </c>
      <c r="F3" s="2" t="inlineStr">
        <is>
          <t>P90 L1 статист.</t>
        </is>
      </c>
      <c r="G3" s="2" t="inlineStr">
        <is>
          <t>P10 L3 +горизонт+факторы</t>
        </is>
      </c>
      <c r="H3" s="2" t="inlineStr">
        <is>
          <t>P90 L3 +горизонт+факторы</t>
        </is>
      </c>
      <c r="I3" s="2" t="inlineStr">
        <is>
          <t>P10 L4 +структурный</t>
        </is>
      </c>
      <c r="J3" s="2" t="inlineStr">
        <is>
          <t>P90 L4 +структурный</t>
        </is>
      </c>
    </row>
    <row r="4">
      <c r="A4" s="4" t="inlineStr">
        <is>
          <t>Рынок</t>
        </is>
      </c>
      <c r="B4" s="4" t="inlineStr">
        <is>
          <t>II кв. 2026–I кв. 2027</t>
        </is>
      </c>
      <c r="C4" s="4" t="inlineStr">
        <is>
          <t>Базовый</t>
        </is>
      </c>
      <c r="D4" s="5" t="n">
        <v>87175.69080803463</v>
      </c>
      <c r="E4" s="5" t="n">
        <v>63527.44412330253</v>
      </c>
      <c r="F4" s="5" t="n">
        <v>116874.9171393109</v>
      </c>
      <c r="G4" s="5" t="n">
        <v>61080.44536538985</v>
      </c>
      <c r="H4" s="5" t="n">
        <v>120551.1126957683</v>
      </c>
      <c r="I4" s="5" t="n">
        <v>60043.0431410114</v>
      </c>
      <c r="J4" s="5" t="n">
        <v>126444.4125376682</v>
      </c>
    </row>
    <row r="5">
      <c r="A5" s="4" t="inlineStr">
        <is>
          <t>Рынок</t>
        </is>
      </c>
      <c r="B5" s="4" t="inlineStr">
        <is>
          <t>II кв. 2026–I кв. 2027</t>
        </is>
      </c>
      <c r="C5" s="4" t="inlineStr">
        <is>
          <t>Консервативный</t>
        </is>
      </c>
      <c r="D5" s="5" t="n">
        <v>85495.32781855317</v>
      </c>
      <c r="E5" s="5" t="n">
        <v>62272.95095752662</v>
      </c>
      <c r="F5" s="5" t="n">
        <v>115299.9326329868</v>
      </c>
      <c r="G5" s="5" t="n">
        <v>59691.3967524986</v>
      </c>
      <c r="H5" s="5" t="n">
        <v>118545.2124799292</v>
      </c>
      <c r="I5" s="5" t="n">
        <v>57838.07624611739</v>
      </c>
      <c r="J5" s="5" t="n">
        <v>124726.013234493</v>
      </c>
    </row>
    <row r="6">
      <c r="A6" s="4" t="inlineStr">
        <is>
          <t>Рынок</t>
        </is>
      </c>
      <c r="B6" s="4" t="inlineStr">
        <is>
          <t>II кв. 2026–I кв. 2027</t>
        </is>
      </c>
      <c r="C6" s="4" t="inlineStr">
        <is>
          <t>Оптимистичный</t>
        </is>
      </c>
      <c r="D6" s="5" t="n">
        <v>87806.77850507054</v>
      </c>
      <c r="E6" s="5" t="n">
        <v>64038.03438549068</v>
      </c>
      <c r="F6" s="5" t="n">
        <v>117637.295058221</v>
      </c>
      <c r="G6" s="5" t="n">
        <v>61501.74443216147</v>
      </c>
      <c r="H6" s="5" t="n">
        <v>121611.2455485237</v>
      </c>
      <c r="I6" s="5" t="n">
        <v>60329.74193463302</v>
      </c>
      <c r="J6" s="5" t="n">
        <v>127952.2843597361</v>
      </c>
    </row>
    <row r="7">
      <c r="A7" s="4" t="inlineStr">
        <is>
          <t>Рынок</t>
        </is>
      </c>
      <c r="B7" s="4" t="inlineStr">
        <is>
          <t>II кв. 2027–I кв. 2028</t>
        </is>
      </c>
      <c r="C7" s="4" t="inlineStr">
        <is>
          <t>Базовый</t>
        </is>
      </c>
      <c r="D7" s="5" t="n">
        <v>95237.92905764666</v>
      </c>
      <c r="E7" s="5" t="n">
        <v>58181.07615417014</v>
      </c>
      <c r="F7" s="5" t="n">
        <v>148377.3278992402</v>
      </c>
      <c r="G7" s="5" t="n">
        <v>53541.58952931385</v>
      </c>
      <c r="H7" s="5" t="n">
        <v>216104.7043185165</v>
      </c>
      <c r="I7" s="5" t="n">
        <v>54665.69658116299</v>
      </c>
      <c r="J7" s="5" t="n">
        <v>221384.5398530269</v>
      </c>
    </row>
    <row r="8">
      <c r="A8" s="4" t="inlineStr">
        <is>
          <t>Рынок</t>
        </is>
      </c>
      <c r="B8" s="4" t="inlineStr">
        <is>
          <t>II кв. 2027–I кв. 2028</t>
        </is>
      </c>
      <c r="C8" s="4" t="inlineStr">
        <is>
          <t>Консервативный</t>
        </is>
      </c>
      <c r="D8" s="5" t="n">
        <v>92792.37312151308</v>
      </c>
      <c r="E8" s="5" t="n">
        <v>56683.23165543046</v>
      </c>
      <c r="F8" s="5" t="n">
        <v>144536.734219702</v>
      </c>
      <c r="G8" s="5" t="n">
        <v>51610.55655326921</v>
      </c>
      <c r="H8" s="5" t="n">
        <v>212867.0352721734</v>
      </c>
      <c r="I8" s="5" t="n">
        <v>51171.00965188306</v>
      </c>
      <c r="J8" s="5" t="n">
        <v>222496.0113467175</v>
      </c>
    </row>
    <row r="9">
      <c r="A9" s="4" t="inlineStr">
        <is>
          <t>Рынок</t>
        </is>
      </c>
      <c r="B9" s="4" t="inlineStr">
        <is>
          <t>II кв. 2027–I кв. 2028</t>
        </is>
      </c>
      <c r="C9" s="4" t="inlineStr">
        <is>
          <t>Оптимистичный</t>
        </is>
      </c>
      <c r="D9" s="5" t="n">
        <v>96787.1293479054</v>
      </c>
      <c r="E9" s="5" t="n">
        <v>59001.32139711771</v>
      </c>
      <c r="F9" s="5" t="n">
        <v>150585.8418015972</v>
      </c>
      <c r="G9" s="5" t="n">
        <v>54819.1546899024</v>
      </c>
      <c r="H9" s="5" t="n">
        <v>220463.9957695015</v>
      </c>
      <c r="I9" s="5" t="n">
        <v>55762.06158447278</v>
      </c>
      <c r="J9" s="5" t="n">
        <v>222496.0113467175</v>
      </c>
    </row>
    <row r="10">
      <c r="A10" s="4" t="inlineStr">
        <is>
          <t>ДВС</t>
        </is>
      </c>
      <c r="B10" s="4" t="inlineStr">
        <is>
          <t>II кв. 2026–I кв. 2027</t>
        </is>
      </c>
      <c r="C10" s="4" t="inlineStr">
        <is>
          <t>Базовый</t>
        </is>
      </c>
      <c r="D10" s="5" t="n">
        <v>29818.78933220336</v>
      </c>
      <c r="E10" s="5" t="n">
        <v>15791.36110029737</v>
      </c>
      <c r="F10" s="5" t="n">
        <v>49078.18448792962</v>
      </c>
      <c r="G10" s="5" t="n">
        <v>14980.22857921768</v>
      </c>
      <c r="H10" s="5" t="n">
        <v>52836.7175020691</v>
      </c>
      <c r="I10" s="5" t="n">
        <v>14378.67419076733</v>
      </c>
      <c r="J10" s="5" t="n">
        <v>57057.65593199056</v>
      </c>
    </row>
    <row r="11">
      <c r="A11" s="4" t="inlineStr">
        <is>
          <t>ДВС</t>
        </is>
      </c>
      <c r="B11" s="4" t="inlineStr">
        <is>
          <t>II кв. 2026–I кв. 2027</t>
        </is>
      </c>
      <c r="C11" s="4" t="inlineStr">
        <is>
          <t>Консервативный</t>
        </is>
      </c>
      <c r="D11" s="5" t="n">
        <v>29069.56780407751</v>
      </c>
      <c r="E11" s="5" t="n">
        <v>15411.34754518323</v>
      </c>
      <c r="F11" s="5" t="n">
        <v>47837.54333847085</v>
      </c>
      <c r="G11" s="5" t="n">
        <v>14401.93233895767</v>
      </c>
      <c r="H11" s="5" t="n">
        <v>51885.15979575201</v>
      </c>
      <c r="I11" s="5" t="n">
        <v>13750.01712437009</v>
      </c>
      <c r="J11" s="5" t="n">
        <v>55860.37883242925</v>
      </c>
    </row>
    <row r="12">
      <c r="A12" s="4" t="inlineStr">
        <is>
          <t>ДВС</t>
        </is>
      </c>
      <c r="B12" s="4" t="inlineStr">
        <is>
          <t>II кв. 2026–I кв. 2027</t>
        </is>
      </c>
      <c r="C12" s="4" t="inlineStr">
        <is>
          <t>Оптимистичный</t>
        </is>
      </c>
      <c r="D12" s="5" t="n">
        <v>29853.67533658732</v>
      </c>
      <c r="E12" s="5" t="n">
        <v>15842.1252936766</v>
      </c>
      <c r="F12" s="5" t="n">
        <v>49152.69429570455</v>
      </c>
      <c r="G12" s="5" t="n">
        <v>15032.2011742395</v>
      </c>
      <c r="H12" s="5" t="n">
        <v>52991.16329283308</v>
      </c>
      <c r="I12" s="5" t="n">
        <v>14378.67419076733</v>
      </c>
      <c r="J12" s="5" t="n">
        <v>57336.14926155104</v>
      </c>
    </row>
    <row r="13">
      <c r="A13" s="4" t="inlineStr">
        <is>
          <t>ДВС</t>
        </is>
      </c>
      <c r="B13" s="4" t="inlineStr">
        <is>
          <t>II кв. 2027–I кв. 2028</t>
        </is>
      </c>
      <c r="C13" s="4" t="inlineStr">
        <is>
          <t>Базовый</t>
        </is>
      </c>
      <c r="D13" s="5" t="n">
        <v>32553.2707607702</v>
      </c>
      <c r="E13" s="5" t="n">
        <v>12474.44417919727</v>
      </c>
      <c r="F13" s="5" t="n">
        <v>72066.47035759297</v>
      </c>
      <c r="G13" s="5" t="n">
        <v>8878.121475116919</v>
      </c>
      <c r="H13" s="5" t="n">
        <v>116337.562192294</v>
      </c>
      <c r="I13" s="5" t="n">
        <v>8527.251104575891</v>
      </c>
      <c r="J13" s="5" t="n">
        <v>117012.1443252934</v>
      </c>
    </row>
    <row r="14">
      <c r="A14" s="4" t="inlineStr">
        <is>
          <t>ДВС</t>
        </is>
      </c>
      <c r="B14" s="4" t="inlineStr">
        <is>
          <t>II кв. 2027–I кв. 2028</t>
        </is>
      </c>
      <c r="C14" s="4" t="inlineStr">
        <is>
          <t>Консервативный</t>
        </is>
      </c>
      <c r="D14" s="5" t="n">
        <v>30770.31758710166</v>
      </c>
      <c r="E14" s="5" t="n">
        <v>11760.16197880464</v>
      </c>
      <c r="F14" s="5" t="n">
        <v>68127.03445758452</v>
      </c>
      <c r="G14" s="5" t="n">
        <v>8196.085329476075</v>
      </c>
      <c r="H14" s="5" t="n">
        <v>111819.2546265028</v>
      </c>
      <c r="I14" s="5" t="n">
        <v>8104.140308950467</v>
      </c>
      <c r="J14" s="5" t="n">
        <v>119054.0766556155</v>
      </c>
    </row>
    <row r="15">
      <c r="A15" s="4" t="inlineStr">
        <is>
          <t>ДВС</t>
        </is>
      </c>
      <c r="B15" s="4" t="inlineStr">
        <is>
          <t>II кв. 2027–I кв. 2028</t>
        </is>
      </c>
      <c r="C15" s="4" t="inlineStr">
        <is>
          <t>Оптимистичный</t>
        </is>
      </c>
      <c r="D15" s="5" t="n">
        <v>33054.92605722166</v>
      </c>
      <c r="E15" s="5" t="n">
        <v>12766.73788230671</v>
      </c>
      <c r="F15" s="5" t="n">
        <v>73284.98728995615</v>
      </c>
      <c r="G15" s="5" t="n">
        <v>9100.966656823375</v>
      </c>
      <c r="H15" s="5" t="n">
        <v>118398.0552399668</v>
      </c>
      <c r="I15" s="5" t="n">
        <v>8551.314458158977</v>
      </c>
      <c r="J15" s="5" t="n">
        <v>117570.307933084</v>
      </c>
    </row>
    <row r="16">
      <c r="A16" s="4" t="inlineStr">
        <is>
          <t>Электро</t>
        </is>
      </c>
      <c r="B16" s="4" t="inlineStr">
        <is>
          <t>II кв. 2026–I кв. 2027</t>
        </is>
      </c>
      <c r="C16" s="4" t="inlineStr">
        <is>
          <t>Базовый</t>
        </is>
      </c>
      <c r="D16" s="5" t="n">
        <v>56370.38780837914</v>
      </c>
      <c r="E16" s="5" t="n">
        <v>40808.19072385845</v>
      </c>
      <c r="F16" s="5" t="n">
        <v>76256.67511274929</v>
      </c>
      <c r="G16" s="5" t="n">
        <v>39332.9275677088</v>
      </c>
      <c r="H16" s="5" t="n">
        <v>76729.46310636227</v>
      </c>
      <c r="I16" s="5" t="n">
        <v>39772.1519935847</v>
      </c>
      <c r="J16" s="5" t="n">
        <v>76429.40928694667</v>
      </c>
    </row>
    <row r="17">
      <c r="A17" s="4" t="inlineStr">
        <is>
          <t>Электро</t>
        </is>
      </c>
      <c r="B17" s="4" t="inlineStr">
        <is>
          <t>II кв. 2026–I кв. 2027</t>
        </is>
      </c>
      <c r="C17" s="4" t="inlineStr">
        <is>
          <t>Консервативный</t>
        </is>
      </c>
      <c r="D17" s="5" t="n">
        <v>55576.33371271656</v>
      </c>
      <c r="E17" s="5" t="n">
        <v>40288.9359140966</v>
      </c>
      <c r="F17" s="5" t="n">
        <v>75459.75577169876</v>
      </c>
      <c r="G17" s="5" t="n">
        <v>38644.7543923609</v>
      </c>
      <c r="H17" s="5" t="n">
        <v>75704.68194984215</v>
      </c>
      <c r="I17" s="5" t="n">
        <v>38952.29611725557</v>
      </c>
      <c r="J17" s="5" t="n">
        <v>76296.83065933821</v>
      </c>
    </row>
    <row r="18">
      <c r="A18" s="4" t="inlineStr">
        <is>
          <t>Электро</t>
        </is>
      </c>
      <c r="B18" s="4" t="inlineStr">
        <is>
          <t>II кв. 2026–I кв. 2027</t>
        </is>
      </c>
      <c r="C18" s="4" t="inlineStr">
        <is>
          <t>Оптимистичный</t>
        </is>
      </c>
      <c r="D18" s="5" t="n">
        <v>57004.24476389514</v>
      </c>
      <c r="E18" s="5" t="n">
        <v>41211.33129046478</v>
      </c>
      <c r="F18" s="5" t="n">
        <v>77053.96894375923</v>
      </c>
      <c r="G18" s="5" t="n">
        <v>39704.04595647524</v>
      </c>
      <c r="H18" s="5" t="n">
        <v>77616.17966849433</v>
      </c>
      <c r="I18" s="5" t="n">
        <v>40232.76780858854</v>
      </c>
      <c r="J18" s="5" t="n">
        <v>77121.7605877134</v>
      </c>
    </row>
    <row r="19">
      <c r="A19" s="4" t="inlineStr">
        <is>
          <t>Электро</t>
        </is>
      </c>
      <c r="B19" s="4" t="inlineStr">
        <is>
          <t>II кв. 2027–I кв. 2028</t>
        </is>
      </c>
      <c r="C19" s="4" t="inlineStr">
        <is>
          <t>Базовый</t>
        </is>
      </c>
      <c r="D19" s="5" t="n">
        <v>58265.21225397976</v>
      </c>
      <c r="E19" s="5" t="n">
        <v>35626.822880371</v>
      </c>
      <c r="F19" s="5" t="n">
        <v>93431.35794133312</v>
      </c>
      <c r="G19" s="5" t="n">
        <v>30104.0207440165</v>
      </c>
      <c r="H19" s="5" t="n">
        <v>123209.3578594672</v>
      </c>
      <c r="I19" s="5" t="n">
        <v>32298.93369625967</v>
      </c>
      <c r="J19" s="5" t="n">
        <v>125699.5202597872</v>
      </c>
    </row>
    <row r="20">
      <c r="A20" s="4" t="inlineStr">
        <is>
          <t>Электро</t>
        </is>
      </c>
      <c r="B20" s="4" t="inlineStr">
        <is>
          <t>II кв. 2027–I кв. 2028</t>
        </is>
      </c>
      <c r="C20" s="4" t="inlineStr">
        <is>
          <t>Консервативный</t>
        </is>
      </c>
      <c r="D20" s="5" t="n">
        <v>57655.35451596111</v>
      </c>
      <c r="E20" s="5" t="n">
        <v>35297.89301233248</v>
      </c>
      <c r="F20" s="5" t="n">
        <v>92503.2060609172</v>
      </c>
      <c r="G20" s="5" t="n">
        <v>29483.576105599</v>
      </c>
      <c r="H20" s="5" t="n">
        <v>121589.5692850578</v>
      </c>
      <c r="I20" s="5" t="n">
        <v>31323.9379144156</v>
      </c>
      <c r="J20" s="5" t="n">
        <v>125576.9537980384</v>
      </c>
    </row>
    <row r="21">
      <c r="A21" s="4" t="inlineStr">
        <is>
          <t>Электро</t>
        </is>
      </c>
      <c r="B21" s="4" t="inlineStr">
        <is>
          <t>II кв. 2027–I кв. 2028</t>
        </is>
      </c>
      <c r="C21" s="4" t="inlineStr">
        <is>
          <t>Оптимистичный</t>
        </is>
      </c>
      <c r="D21" s="5" t="n">
        <v>59069.80970988558</v>
      </c>
      <c r="E21" s="5" t="n">
        <v>36129.52938338966</v>
      </c>
      <c r="F21" s="5" t="n">
        <v>94774.9779523202</v>
      </c>
      <c r="G21" s="5" t="n">
        <v>30455.00853493139</v>
      </c>
      <c r="H21" s="5" t="n">
        <v>125058.7666874779</v>
      </c>
      <c r="I21" s="5" t="n">
        <v>32537.5278706655</v>
      </c>
      <c r="J21" s="5" t="n">
        <v>126454.3073014762</v>
      </c>
    </row>
    <row r="22">
      <c r="A22" s="4" t="inlineStr">
        <is>
          <t>ДВС 1–1,8 т</t>
        </is>
      </c>
      <c r="B22" s="4" t="inlineStr">
        <is>
          <t>II кв. 2026–I кв. 2027</t>
        </is>
      </c>
      <c r="C22" s="4" t="inlineStr">
        <is>
          <t>Базовый</t>
        </is>
      </c>
      <c r="D22" s="5" t="n">
        <v>7518.04613947865</v>
      </c>
      <c r="E22" s="5" t="n">
        <v>3455.272145065753</v>
      </c>
      <c r="F22" s="5" t="n">
        <v>14706.77518319623</v>
      </c>
      <c r="G22" s="5" t="n">
        <v>3233.778831224889</v>
      </c>
      <c r="H22" s="5" t="n">
        <v>15902.75966482406</v>
      </c>
      <c r="I22" s="5" t="n">
        <v>3042.106629631965</v>
      </c>
      <c r="J22" s="5" t="n">
        <v>17056.3428377818</v>
      </c>
    </row>
    <row r="23">
      <c r="A23" s="4" t="inlineStr">
        <is>
          <t>ДВС 1–1,8 т</t>
        </is>
      </c>
      <c r="B23" s="4" t="inlineStr">
        <is>
          <t>II кв. 2026–I кв. 2027</t>
        </is>
      </c>
      <c r="C23" s="4" t="inlineStr">
        <is>
          <t>Консервативный</t>
        </is>
      </c>
      <c r="D23" s="5" t="n">
        <v>7345.032728799469</v>
      </c>
      <c r="E23" s="5" t="n">
        <v>3355.906693080228</v>
      </c>
      <c r="F23" s="5" t="n">
        <v>14269.74269141496</v>
      </c>
      <c r="G23" s="5" t="n">
        <v>3103.799262806747</v>
      </c>
      <c r="H23" s="5" t="n">
        <v>15515.89630170946</v>
      </c>
      <c r="I23" s="5" t="n">
        <v>2950.938614261413</v>
      </c>
      <c r="J23" s="5" t="n">
        <v>16552.80193286584</v>
      </c>
    </row>
    <row r="24">
      <c r="A24" s="4" t="inlineStr">
        <is>
          <t>ДВС 1–1,8 т</t>
        </is>
      </c>
      <c r="B24" s="4" t="inlineStr">
        <is>
          <t>II кв. 2026–I кв. 2027</t>
        </is>
      </c>
      <c r="C24" s="4" t="inlineStr">
        <is>
          <t>Оптимистичный</t>
        </is>
      </c>
      <c r="D24" s="5" t="n">
        <v>7530.422195590714</v>
      </c>
      <c r="E24" s="5" t="n">
        <v>3460.320813957755</v>
      </c>
      <c r="F24" s="5" t="n">
        <v>14736.80054261287</v>
      </c>
      <c r="G24" s="5" t="n">
        <v>3255.874258664104</v>
      </c>
      <c r="H24" s="5" t="n">
        <v>15965.13478856894</v>
      </c>
      <c r="I24" s="5" t="n">
        <v>3042.310977368626</v>
      </c>
      <c r="J24" s="5" t="n">
        <v>17110.78685541762</v>
      </c>
    </row>
    <row r="25">
      <c r="A25" s="4" t="inlineStr">
        <is>
          <t>ДВС 1–1,8 т</t>
        </is>
      </c>
      <c r="B25" s="4" t="inlineStr">
        <is>
          <t>II кв. 2027–I кв. 2028</t>
        </is>
      </c>
      <c r="C25" s="4" t="inlineStr">
        <is>
          <t>Базовый</t>
        </is>
      </c>
      <c r="D25" s="5" t="n">
        <v>7551.606012522517</v>
      </c>
      <c r="E25" s="5" t="n">
        <v>2316.745235726579</v>
      </c>
      <c r="F25" s="5" t="n">
        <v>20980.42879803213</v>
      </c>
      <c r="G25" s="5" t="n">
        <v>1163.575022366206</v>
      </c>
      <c r="H25" s="5" t="n">
        <v>34151.13213973978</v>
      </c>
      <c r="I25" s="5" t="n">
        <v>997.5177562119096</v>
      </c>
      <c r="J25" s="5" t="n">
        <v>32212.85218213763</v>
      </c>
    </row>
    <row r="26">
      <c r="A26" s="4" t="inlineStr">
        <is>
          <t>ДВС 1–1,8 т</t>
        </is>
      </c>
      <c r="B26" s="4" t="inlineStr">
        <is>
          <t>II кв. 2027–I кв. 2028</t>
        </is>
      </c>
      <c r="C26" s="4" t="inlineStr">
        <is>
          <t>Консервативный</t>
        </is>
      </c>
      <c r="D26" s="5" t="n">
        <v>7142.213409063088</v>
      </c>
      <c r="E26" s="5" t="n">
        <v>2167.831103300533</v>
      </c>
      <c r="F26" s="5" t="n">
        <v>19812.19316731982</v>
      </c>
      <c r="G26" s="5" t="n">
        <v>1078.678951500708</v>
      </c>
      <c r="H26" s="5" t="n">
        <v>32390.92766595308</v>
      </c>
      <c r="I26" s="5" t="n">
        <v>968.2996208530144</v>
      </c>
      <c r="J26" s="5" t="n">
        <v>32771.43523923844</v>
      </c>
    </row>
    <row r="27">
      <c r="A27" s="4" t="inlineStr">
        <is>
          <t>ДВС 1–1,8 т</t>
        </is>
      </c>
      <c r="B27" s="4" t="inlineStr">
        <is>
          <t>II кв. 2027–I кв. 2028</t>
        </is>
      </c>
      <c r="C27" s="4" t="inlineStr">
        <is>
          <t>Оптимистичный</t>
        </is>
      </c>
      <c r="D27" s="5" t="n">
        <v>7649.220153640053</v>
      </c>
      <c r="E27" s="5" t="n">
        <v>2345.090450411306</v>
      </c>
      <c r="F27" s="5" t="n">
        <v>21263.96130304616</v>
      </c>
      <c r="G27" s="5" t="n">
        <v>1185.144024713688</v>
      </c>
      <c r="H27" s="5" t="n">
        <v>34760.17284339785</v>
      </c>
      <c r="I27" s="5" t="n">
        <v>1000.270628652419</v>
      </c>
      <c r="J27" s="5" t="n">
        <v>32644.42679175095</v>
      </c>
    </row>
    <row r="28">
      <c r="A28" s="4" t="inlineStr">
        <is>
          <t>ДВС 2–2,5 т</t>
        </is>
      </c>
      <c r="B28" s="4" t="inlineStr">
        <is>
          <t>II кв. 2026–I кв. 2027</t>
        </is>
      </c>
      <c r="C28" s="4" t="inlineStr">
        <is>
          <t>Базовый</t>
        </is>
      </c>
      <c r="D28" s="5" t="n">
        <v>6823.542693091316</v>
      </c>
      <c r="E28" s="5" t="n">
        <v>3139.170915773076</v>
      </c>
      <c r="F28" s="5" t="n">
        <v>11168.46395516585</v>
      </c>
      <c r="G28" s="5" t="n">
        <v>2953.182771442055</v>
      </c>
      <c r="H28" s="5" t="n">
        <v>12077.26218481203</v>
      </c>
      <c r="I28" s="5" t="n">
        <v>2903.44189577416</v>
      </c>
      <c r="J28" s="5" t="n">
        <v>13369.36624644143</v>
      </c>
    </row>
    <row r="29">
      <c r="A29" s="4" t="inlineStr">
        <is>
          <t>ДВС 2–2,5 т</t>
        </is>
      </c>
      <c r="B29" s="4" t="inlineStr">
        <is>
          <t>II кв. 2026–I кв. 2027</t>
        </is>
      </c>
      <c r="C29" s="4" t="inlineStr">
        <is>
          <t>Консервативный</t>
        </is>
      </c>
      <c r="D29" s="5" t="n">
        <v>6642.566857900827</v>
      </c>
      <c r="E29" s="5" t="n">
        <v>3061.920898840089</v>
      </c>
      <c r="F29" s="5" t="n">
        <v>10900.14435960727</v>
      </c>
      <c r="G29" s="5" t="n">
        <v>2854.691391372267</v>
      </c>
      <c r="H29" s="5" t="n">
        <v>11932.83758379351</v>
      </c>
      <c r="I29" s="5" t="n">
        <v>2760.969964213235</v>
      </c>
      <c r="J29" s="5" t="n">
        <v>13019.46210989294</v>
      </c>
    </row>
    <row r="30">
      <c r="A30" s="4" t="inlineStr">
        <is>
          <t>ДВС 2–2,5 т</t>
        </is>
      </c>
      <c r="B30" s="4" t="inlineStr">
        <is>
          <t>II кв. 2026–I кв. 2027</t>
        </is>
      </c>
      <c r="C30" s="4" t="inlineStr">
        <is>
          <t>Оптимистичный</t>
        </is>
      </c>
      <c r="D30" s="5" t="n">
        <v>6835.888754733892</v>
      </c>
      <c r="E30" s="5" t="n">
        <v>3147.621904005902</v>
      </c>
      <c r="F30" s="5" t="n">
        <v>11201.94951398989</v>
      </c>
      <c r="G30" s="5" t="n">
        <v>2957.272929044747</v>
      </c>
      <c r="H30" s="5" t="n">
        <v>12142.59933414216</v>
      </c>
      <c r="I30" s="5" t="n">
        <v>2910.755702233438</v>
      </c>
      <c r="J30" s="5" t="n">
        <v>13477.38452564714</v>
      </c>
    </row>
    <row r="31">
      <c r="A31" s="4" t="inlineStr">
        <is>
          <t>ДВС 2–2,5 т</t>
        </is>
      </c>
      <c r="B31" s="4" t="inlineStr">
        <is>
          <t>II кв. 2027–I кв. 2028</t>
        </is>
      </c>
      <c r="C31" s="4" t="inlineStr">
        <is>
          <t>Базовый</t>
        </is>
      </c>
      <c r="D31" s="5" t="n">
        <v>7048.078411529481</v>
      </c>
      <c r="E31" s="5" t="n">
        <v>2036.960912455119</v>
      </c>
      <c r="F31" s="5" t="n">
        <v>17391.20629893325</v>
      </c>
      <c r="G31" s="5" t="n">
        <v>1091.698038876099</v>
      </c>
      <c r="H31" s="5" t="n">
        <v>26624.97547287806</v>
      </c>
      <c r="I31" s="5" t="n">
        <v>1112.995081710272</v>
      </c>
      <c r="J31" s="5" t="n">
        <v>26831.86483850146</v>
      </c>
    </row>
    <row r="32">
      <c r="A32" s="4" t="inlineStr">
        <is>
          <t>ДВС 2–2,5 т</t>
        </is>
      </c>
      <c r="B32" s="4" t="inlineStr">
        <is>
          <t>II кв. 2027–I кв. 2028</t>
        </is>
      </c>
      <c r="C32" s="4" t="inlineStr">
        <is>
          <t>Консервативный</t>
        </is>
      </c>
      <c r="D32" s="5" t="n">
        <v>6699.807519349359</v>
      </c>
      <c r="E32" s="5" t="n">
        <v>1899.784326225275</v>
      </c>
      <c r="F32" s="5" t="n">
        <v>16515.95636375089</v>
      </c>
      <c r="G32" s="5" t="n">
        <v>998.6832808751587</v>
      </c>
      <c r="H32" s="5" t="n">
        <v>25514.90619290648</v>
      </c>
      <c r="I32" s="5" t="n">
        <v>1080.018188733602</v>
      </c>
      <c r="J32" s="5" t="n">
        <v>27393.70077647737</v>
      </c>
    </row>
    <row r="33">
      <c r="A33" s="4" t="inlineStr">
        <is>
          <t>ДВС 2–2,5 т</t>
        </is>
      </c>
      <c r="B33" s="4" t="inlineStr">
        <is>
          <t>II кв. 2027–I кв. 2028</t>
        </is>
      </c>
      <c r="C33" s="4" t="inlineStr">
        <is>
          <t>Оптимистичный</t>
        </is>
      </c>
      <c r="D33" s="5" t="n">
        <v>7166.94004165072</v>
      </c>
      <c r="E33" s="5" t="n">
        <v>2059.941700662584</v>
      </c>
      <c r="F33" s="5" t="n">
        <v>17699.49210360196</v>
      </c>
      <c r="G33" s="5" t="n">
        <v>1114.988005796182</v>
      </c>
      <c r="H33" s="5" t="n">
        <v>27462.84657871156</v>
      </c>
      <c r="I33" s="5" t="n">
        <v>1112.995081710272</v>
      </c>
      <c r="J33" s="5" t="n">
        <v>26953.03796764708</v>
      </c>
    </row>
    <row r="34">
      <c r="A34" s="4" t="inlineStr">
        <is>
          <t>ДВС 3–3,5 т</t>
        </is>
      </c>
      <c r="B34" s="4" t="inlineStr">
        <is>
          <t>II кв. 2026–I кв. 2027</t>
        </is>
      </c>
      <c r="C34" s="4" t="inlineStr">
        <is>
          <t>Базовый</t>
        </is>
      </c>
      <c r="D34" s="5" t="n">
        <v>11640.42368884575</v>
      </c>
      <c r="E34" s="5" t="n">
        <v>5211.449156536278</v>
      </c>
      <c r="F34" s="5" t="n">
        <v>21837.29019711489</v>
      </c>
      <c r="G34" s="5" t="n">
        <v>4868.508937044536</v>
      </c>
      <c r="H34" s="5" t="n">
        <v>23494.59949316844</v>
      </c>
      <c r="I34" s="5" t="n">
        <v>4785.557118349509</v>
      </c>
      <c r="J34" s="5" t="n">
        <v>25236.00602652272</v>
      </c>
    </row>
    <row r="35">
      <c r="A35" s="4" t="inlineStr">
        <is>
          <t>ДВС 3–3,5 т</t>
        </is>
      </c>
      <c r="B35" s="4" t="inlineStr">
        <is>
          <t>II кв. 2026–I кв. 2027</t>
        </is>
      </c>
      <c r="C35" s="4" t="inlineStr">
        <is>
          <t>Консервативный</t>
        </is>
      </c>
      <c r="D35" s="5" t="n">
        <v>11334.09202449526</v>
      </c>
      <c r="E35" s="5" t="n">
        <v>5064.698864879046</v>
      </c>
      <c r="F35" s="5" t="n">
        <v>21233.04362081327</v>
      </c>
      <c r="G35" s="5" t="n">
        <v>4730.218026327026</v>
      </c>
      <c r="H35" s="5" t="n">
        <v>22955.03014527028</v>
      </c>
      <c r="I35" s="5" t="n">
        <v>4657.120553055777</v>
      </c>
      <c r="J35" s="5" t="n">
        <v>24601.16380518701</v>
      </c>
    </row>
    <row r="36">
      <c r="A36" s="4" t="inlineStr">
        <is>
          <t>ДВС 3–3,5 т</t>
        </is>
      </c>
      <c r="B36" s="4" t="inlineStr">
        <is>
          <t>II кв. 2026–I кв. 2027</t>
        </is>
      </c>
      <c r="C36" s="4" t="inlineStr">
        <is>
          <t>Оптимистичный</t>
        </is>
      </c>
      <c r="D36" s="5" t="n">
        <v>11644.1982727409</v>
      </c>
      <c r="E36" s="5" t="n">
        <v>5208.249107007557</v>
      </c>
      <c r="F36" s="5" t="n">
        <v>21860.83624332137</v>
      </c>
      <c r="G36" s="5" t="n">
        <v>4880.277735867996</v>
      </c>
      <c r="H36" s="5" t="n">
        <v>23590.94495801664</v>
      </c>
      <c r="I36" s="5" t="n">
        <v>4788.481964359044</v>
      </c>
      <c r="J36" s="5" t="n">
        <v>25296.92306103087</v>
      </c>
    </row>
    <row r="37">
      <c r="A37" s="4" t="inlineStr">
        <is>
          <t>ДВС 3–3,5 т</t>
        </is>
      </c>
      <c r="B37" s="4" t="inlineStr">
        <is>
          <t>II кв. 2027–I кв. 2028</t>
        </is>
      </c>
      <c r="C37" s="4" t="inlineStr">
        <is>
          <t>Базовый</t>
        </is>
      </c>
      <c r="D37" s="5" t="n">
        <v>11954.11793380632</v>
      </c>
      <c r="E37" s="5" t="n">
        <v>3504.603147709089</v>
      </c>
      <c r="F37" s="5" t="n">
        <v>32441.96178188274</v>
      </c>
      <c r="G37" s="5" t="n">
        <v>1785.515148576237</v>
      </c>
      <c r="H37" s="5" t="n">
        <v>52284.98314622836</v>
      </c>
      <c r="I37" s="5" t="n">
        <v>1531.966514107205</v>
      </c>
      <c r="J37" s="5" t="n">
        <v>50128.38237400474</v>
      </c>
    </row>
    <row r="38">
      <c r="A38" s="4" t="inlineStr">
        <is>
          <t>ДВС 3–3,5 т</t>
        </is>
      </c>
      <c r="B38" s="4" t="inlineStr">
        <is>
          <t>II кв. 2027–I кв. 2028</t>
        </is>
      </c>
      <c r="C38" s="4" t="inlineStr">
        <is>
          <t>Консервативный</t>
        </is>
      </c>
      <c r="D38" s="5" t="n">
        <v>11322.13274919869</v>
      </c>
      <c r="E38" s="5" t="n">
        <v>3278.183745460157</v>
      </c>
      <c r="F38" s="5" t="n">
        <v>31088.58250880112</v>
      </c>
      <c r="G38" s="5" t="n">
        <v>1645.129092404874</v>
      </c>
      <c r="H38" s="5" t="n">
        <v>49475.98858785669</v>
      </c>
      <c r="I38" s="5" t="n">
        <v>1509.35046251193</v>
      </c>
      <c r="J38" s="5" t="n">
        <v>49697.89214906394</v>
      </c>
    </row>
    <row r="39">
      <c r="A39" s="4" t="inlineStr">
        <is>
          <t>ДВС 3–3,5 т</t>
        </is>
      </c>
      <c r="B39" s="4" t="inlineStr">
        <is>
          <t>II кв. 2027–I кв. 2028</t>
        </is>
      </c>
      <c r="C39" s="4" t="inlineStr">
        <is>
          <t>Оптимистичный</t>
        </is>
      </c>
      <c r="D39" s="5" t="n">
        <v>12102.81711736398</v>
      </c>
      <c r="E39" s="5" t="n">
        <v>3554.10288444233</v>
      </c>
      <c r="F39" s="5" t="n">
        <v>32824.01258875809</v>
      </c>
      <c r="G39" s="5" t="n">
        <v>1810.945055742746</v>
      </c>
      <c r="H39" s="5" t="n">
        <v>52782.08496389314</v>
      </c>
      <c r="I39" s="5" t="n">
        <v>1531.966514107205</v>
      </c>
      <c r="J39" s="5" t="n">
        <v>50430.31794378094</v>
      </c>
    </row>
    <row r="40">
      <c r="A40" s="4" t="inlineStr">
        <is>
          <t>ДВС 3,8–5 т</t>
        </is>
      </c>
      <c r="B40" s="4" t="inlineStr">
        <is>
          <t>II кв. 2026–I кв. 2027</t>
        </is>
      </c>
      <c r="C40" s="4" t="inlineStr">
        <is>
          <t>Базовый</t>
        </is>
      </c>
      <c r="D40" s="5" t="n">
        <v>1764.700699671507</v>
      </c>
      <c r="E40" s="5" t="n">
        <v>970.3314293443024</v>
      </c>
      <c r="F40" s="5" t="n">
        <v>3126.901983918425</v>
      </c>
      <c r="G40" s="5" t="n">
        <v>916.5736927517314</v>
      </c>
      <c r="H40" s="5" t="n">
        <v>3355.180670685475</v>
      </c>
      <c r="I40" s="5" t="n">
        <v>830.1237355522553</v>
      </c>
      <c r="J40" s="5" t="n">
        <v>3890.503896555633</v>
      </c>
    </row>
    <row r="41">
      <c r="A41" s="4" t="inlineStr">
        <is>
          <t>ДВС 3,8–5 т</t>
        </is>
      </c>
      <c r="B41" s="4" t="inlineStr">
        <is>
          <t>II кв. 2026–I кв. 2027</t>
        </is>
      </c>
      <c r="C41" s="4" t="inlineStr">
        <is>
          <t>Консервативный</t>
        </is>
      </c>
      <c r="D41" s="5" t="n">
        <v>1716.01818717565</v>
      </c>
      <c r="E41" s="5" t="n">
        <v>941.3659128126787</v>
      </c>
      <c r="F41" s="5" t="n">
        <v>3030.736883387899</v>
      </c>
      <c r="G41" s="5" t="n">
        <v>880.0300384133375</v>
      </c>
      <c r="H41" s="5" t="n">
        <v>3274.453029756183</v>
      </c>
      <c r="I41" s="5" t="n">
        <v>812.4565792212721</v>
      </c>
      <c r="J41" s="5" t="n">
        <v>3718.395043582515</v>
      </c>
    </row>
    <row r="42">
      <c r="A42" s="4" t="inlineStr">
        <is>
          <t>ДВС 3,8–5 т</t>
        </is>
      </c>
      <c r="B42" s="4" t="inlineStr">
        <is>
          <t>II кв. 2026–I кв. 2027</t>
        </is>
      </c>
      <c r="C42" s="4" t="inlineStr">
        <is>
          <t>Оптимистичный</t>
        </is>
      </c>
      <c r="D42" s="5" t="n">
        <v>1765.76532401927</v>
      </c>
      <c r="E42" s="5" t="n">
        <v>970.976035539912</v>
      </c>
      <c r="F42" s="5" t="n">
        <v>3143.867417200359</v>
      </c>
      <c r="G42" s="5" t="n">
        <v>918.721875693908</v>
      </c>
      <c r="H42" s="5" t="n">
        <v>3359.489357464614</v>
      </c>
      <c r="I42" s="5" t="n">
        <v>830.1237355522553</v>
      </c>
      <c r="J42" s="5" t="n">
        <v>3922.535826952133</v>
      </c>
    </row>
    <row r="43">
      <c r="A43" s="4" t="inlineStr">
        <is>
          <t>ДВС 3,8–5 т</t>
        </is>
      </c>
      <c r="B43" s="4" t="inlineStr">
        <is>
          <t>II кв. 2027–I кв. 2028</t>
        </is>
      </c>
      <c r="C43" s="4" t="inlineStr">
        <is>
          <t>Базовый</t>
        </is>
      </c>
      <c r="D43" s="5" t="n">
        <v>1842.682188576647</v>
      </c>
      <c r="E43" s="5" t="n">
        <v>763.7312325117492</v>
      </c>
      <c r="F43" s="5" t="n">
        <v>4367.069397614312</v>
      </c>
      <c r="G43" s="5" t="n">
        <v>543.8100707796638</v>
      </c>
      <c r="H43" s="5" t="n">
        <v>6658.881819352379</v>
      </c>
      <c r="I43" s="5" t="n">
        <v>436.6225767021399</v>
      </c>
      <c r="J43" s="5" t="n">
        <v>6677.743094176729</v>
      </c>
    </row>
    <row r="44">
      <c r="A44" s="4" t="inlineStr">
        <is>
          <t>ДВС 3,8–5 т</t>
        </is>
      </c>
      <c r="B44" s="4" t="inlineStr">
        <is>
          <t>II кв. 2027–I кв. 2028</t>
        </is>
      </c>
      <c r="C44" s="4" t="inlineStr">
        <is>
          <t>Консервативный</t>
        </is>
      </c>
      <c r="D44" s="5" t="n">
        <v>1735.777355207417</v>
      </c>
      <c r="E44" s="5" t="n">
        <v>718.6514622842387</v>
      </c>
      <c r="F44" s="5" t="n">
        <v>4118.959527738381</v>
      </c>
      <c r="G44" s="5" t="n">
        <v>508.4520537096825</v>
      </c>
      <c r="H44" s="5" t="n">
        <v>6301.503203664602</v>
      </c>
      <c r="I44" s="5" t="n">
        <v>433.3628585406659</v>
      </c>
      <c r="J44" s="5" t="n">
        <v>6515.774368810682</v>
      </c>
    </row>
    <row r="45">
      <c r="A45" s="4" t="inlineStr">
        <is>
          <t>ДВС 3,8–5 т</t>
        </is>
      </c>
      <c r="B45" s="4" t="inlineStr">
        <is>
          <t>II кв. 2027–I кв. 2028</t>
        </is>
      </c>
      <c r="C45" s="4" t="inlineStr">
        <is>
          <t>Оптимистичный</t>
        </is>
      </c>
      <c r="D45" s="5" t="n">
        <v>1872.927486353273</v>
      </c>
      <c r="E45" s="5" t="n">
        <v>776.7959589891362</v>
      </c>
      <c r="F45" s="5" t="n">
        <v>4440.15184330552</v>
      </c>
      <c r="G45" s="5" t="n">
        <v>553.5547127564678</v>
      </c>
      <c r="H45" s="5" t="n">
        <v>6772.041455065009</v>
      </c>
      <c r="I45" s="5" t="n">
        <v>439.3108611983698</v>
      </c>
      <c r="J45" s="5" t="n">
        <v>6793.26989547833</v>
      </c>
    </row>
    <row r="46">
      <c r="A46" s="4" t="inlineStr">
        <is>
          <t>ДВС 5,5 т+</t>
        </is>
      </c>
      <c r="B46" s="4" t="inlineStr">
        <is>
          <t>II кв. 2026–I кв. 2027</t>
        </is>
      </c>
      <c r="C46" s="4" t="inlineStr">
        <is>
          <t>Базовый</t>
        </is>
      </c>
      <c r="D46" s="5" t="n">
        <v>1131.220932689246</v>
      </c>
      <c r="E46" s="5" t="n">
        <v>650.9189840660429</v>
      </c>
      <c r="F46" s="5" t="n">
        <v>1860.549772367872</v>
      </c>
      <c r="G46" s="5" t="n">
        <v>622.2896548388613</v>
      </c>
      <c r="H46" s="5" t="n">
        <v>1959.526277834278</v>
      </c>
      <c r="I46" s="5" t="n">
        <v>627.0205522658987</v>
      </c>
      <c r="J46" s="5" t="n">
        <v>1948.236259417169</v>
      </c>
    </row>
    <row r="47">
      <c r="A47" s="4" t="inlineStr">
        <is>
          <t>ДВС 5,5 т+</t>
        </is>
      </c>
      <c r="B47" s="4" t="inlineStr">
        <is>
          <t>II кв. 2026–I кв. 2027</t>
        </is>
      </c>
      <c r="C47" s="4" t="inlineStr">
        <is>
          <t>Консервативный</t>
        </is>
      </c>
      <c r="D47" s="5" t="n">
        <v>1102.139355073717</v>
      </c>
      <c r="E47" s="5" t="n">
        <v>633.9930225712566</v>
      </c>
      <c r="F47" s="5" t="n">
        <v>1819.603228664075</v>
      </c>
      <c r="G47" s="5" t="n">
        <v>600.2771251634306</v>
      </c>
      <c r="H47" s="5" t="n">
        <v>1906.808781310673</v>
      </c>
      <c r="I47" s="5" t="n">
        <v>597.4829170314013</v>
      </c>
      <c r="J47" s="5" t="n">
        <v>1936.674672473663</v>
      </c>
    </row>
    <row r="48">
      <c r="A48" s="4" t="inlineStr">
        <is>
          <t>ДВС 5,5 т+</t>
        </is>
      </c>
      <c r="B48" s="4" t="inlineStr">
        <is>
          <t>II кв. 2026–I кв. 2027</t>
        </is>
      </c>
      <c r="C48" s="4" t="inlineStr">
        <is>
          <t>Оптимистичный</t>
        </is>
      </c>
      <c r="D48" s="5" t="n">
        <v>1131.150233921688</v>
      </c>
      <c r="E48" s="5" t="n">
        <v>649.6146593406722</v>
      </c>
      <c r="F48" s="5" t="n">
        <v>1860.917730242462</v>
      </c>
      <c r="G48" s="5" t="n">
        <v>623.2061487881671</v>
      </c>
      <c r="H48" s="5" t="n">
        <v>1958.950822383663</v>
      </c>
      <c r="I48" s="5" t="n">
        <v>627.5959691935735</v>
      </c>
      <c r="J48" s="5" t="n">
        <v>1953.957714049084</v>
      </c>
    </row>
    <row r="49">
      <c r="A49" s="4" t="inlineStr">
        <is>
          <t>ДВС 5,5 т+</t>
        </is>
      </c>
      <c r="B49" s="4" t="inlineStr">
        <is>
          <t>II кв. 2027–I кв. 2028</t>
        </is>
      </c>
      <c r="C49" s="4" t="inlineStr">
        <is>
          <t>Базовый</t>
        </is>
      </c>
      <c r="D49" s="5" t="n">
        <v>1170.520640382759</v>
      </c>
      <c r="E49" s="5" t="n">
        <v>519.2894511962121</v>
      </c>
      <c r="F49" s="5" t="n">
        <v>2423.644559830912</v>
      </c>
      <c r="G49" s="5" t="n">
        <v>382.6325186645606</v>
      </c>
      <c r="H49" s="5" t="n">
        <v>3457.627695849986</v>
      </c>
      <c r="I49" s="5" t="n">
        <v>428.461850113625</v>
      </c>
      <c r="J49" s="5" t="n">
        <v>3242.523946757185</v>
      </c>
    </row>
    <row r="50">
      <c r="A50" s="4" t="inlineStr">
        <is>
          <t>ДВС 5,5 т+</t>
        </is>
      </c>
      <c r="B50" s="4" t="inlineStr">
        <is>
          <t>II кв. 2027–I кв. 2028</t>
        </is>
      </c>
      <c r="C50" s="4" t="inlineStr">
        <is>
          <t>Консервативный</t>
        </is>
      </c>
      <c r="D50" s="5" t="n">
        <v>1111.168861390199</v>
      </c>
      <c r="E50" s="5" t="n">
        <v>489.6926893879541</v>
      </c>
      <c r="F50" s="5" t="n">
        <v>2297.065578540992</v>
      </c>
      <c r="G50" s="5" t="n">
        <v>355.4633110764181</v>
      </c>
      <c r="H50" s="5" t="n">
        <v>3309.64960240671</v>
      </c>
      <c r="I50" s="5" t="n">
        <v>386.4678491698269</v>
      </c>
      <c r="J50" s="5" t="n">
        <v>3261.312924097319</v>
      </c>
    </row>
    <row r="51">
      <c r="A51" s="4" t="inlineStr">
        <is>
          <t>ДВС 5,5 т+</t>
        </is>
      </c>
      <c r="B51" s="4" t="inlineStr">
        <is>
          <t>II кв. 2027–I кв. 2028</t>
        </is>
      </c>
      <c r="C51" s="4" t="inlineStr">
        <is>
          <t>Оптимистичный</t>
        </is>
      </c>
      <c r="D51" s="5" t="n">
        <v>1188.002747378889</v>
      </c>
      <c r="E51" s="5" t="n">
        <v>528.2004076906807</v>
      </c>
      <c r="F51" s="5" t="n">
        <v>2457.535490783658</v>
      </c>
      <c r="G51" s="5" t="n">
        <v>389.4190452199994</v>
      </c>
      <c r="H51" s="5" t="n">
        <v>3528.807315027889</v>
      </c>
      <c r="I51" s="5" t="n">
        <v>432.7728223141601</v>
      </c>
      <c r="J51" s="5" t="n">
        <v>3236.805412126461</v>
      </c>
    </row>
    <row r="52">
      <c r="A52" s="4" t="inlineStr">
        <is>
          <t>Электро 1–1,8 т</t>
        </is>
      </c>
      <c r="B52" s="4" t="inlineStr">
        <is>
          <t>II кв. 2026–I кв. 2027</t>
        </is>
      </c>
      <c r="C52" s="4" t="inlineStr">
        <is>
          <t>Базовый</t>
        </is>
      </c>
      <c r="D52" s="5" t="n">
        <v>25841.05214702717</v>
      </c>
      <c r="E52" s="5" t="n">
        <v>18278.25758919483</v>
      </c>
      <c r="F52" s="5" t="n">
        <v>34885.47458435727</v>
      </c>
      <c r="G52" s="5" t="n">
        <v>17672.61867962507</v>
      </c>
      <c r="H52" s="5" t="n">
        <v>34998.93309973902</v>
      </c>
      <c r="I52" s="5" t="n">
        <v>18257.69199416186</v>
      </c>
      <c r="J52" s="5" t="n">
        <v>34133.63454510947</v>
      </c>
    </row>
    <row r="53">
      <c r="A53" s="4" t="inlineStr">
        <is>
          <t>Электро 1–1,8 т</t>
        </is>
      </c>
      <c r="B53" s="4" t="inlineStr">
        <is>
          <t>II кв. 2026–I кв. 2027</t>
        </is>
      </c>
      <c r="C53" s="4" t="inlineStr">
        <is>
          <t>Консервативный</t>
        </is>
      </c>
      <c r="D53" s="5" t="n">
        <v>25495.19199746074</v>
      </c>
      <c r="E53" s="5" t="n">
        <v>18032.44243372679</v>
      </c>
      <c r="F53" s="5" t="n">
        <v>34415.64304349125</v>
      </c>
      <c r="G53" s="5" t="n">
        <v>17445.45505549345</v>
      </c>
      <c r="H53" s="5" t="n">
        <v>34443.87923669015</v>
      </c>
      <c r="I53" s="5" t="n">
        <v>17962.69918443131</v>
      </c>
      <c r="J53" s="5" t="n">
        <v>33680.27534714724</v>
      </c>
    </row>
    <row r="54">
      <c r="A54" s="4" t="inlineStr">
        <is>
          <t>Электро 1–1,8 т</t>
        </is>
      </c>
      <c r="B54" s="4" t="inlineStr">
        <is>
          <t>II кв. 2026–I кв. 2027</t>
        </is>
      </c>
      <c r="C54" s="4" t="inlineStr">
        <is>
          <t>Оптимистичный</t>
        </is>
      </c>
      <c r="D54" s="5" t="n">
        <v>26101.13583842195</v>
      </c>
      <c r="E54" s="5" t="n">
        <v>18454.59452362007</v>
      </c>
      <c r="F54" s="5" t="n">
        <v>35250.76848184046</v>
      </c>
      <c r="G54" s="5" t="n">
        <v>17851.47464409106</v>
      </c>
      <c r="H54" s="5" t="n">
        <v>35348.56321408133</v>
      </c>
      <c r="I54" s="5" t="n">
        <v>18340.13842298802</v>
      </c>
      <c r="J54" s="5" t="n">
        <v>34349.80014442542</v>
      </c>
    </row>
    <row r="55">
      <c r="A55" s="4" t="inlineStr">
        <is>
          <t>Электро 1–1,8 т</t>
        </is>
      </c>
      <c r="B55" s="4" t="inlineStr">
        <is>
          <t>II кв. 2027–I кв. 2028</t>
        </is>
      </c>
      <c r="C55" s="4" t="inlineStr">
        <is>
          <t>Базовый</t>
        </is>
      </c>
      <c r="D55" s="5" t="n">
        <v>25404.51294398043</v>
      </c>
      <c r="E55" s="5" t="n">
        <v>14562.5423404739</v>
      </c>
      <c r="F55" s="5" t="n">
        <v>40591.31347341011</v>
      </c>
      <c r="G55" s="5" t="n">
        <v>9345.75159706146</v>
      </c>
      <c r="H55" s="5" t="n">
        <v>47391.07079247402</v>
      </c>
      <c r="I55" s="5" t="n">
        <v>9458.193621004752</v>
      </c>
      <c r="J55" s="5" t="n">
        <v>43206.91383602007</v>
      </c>
    </row>
    <row r="56">
      <c r="A56" s="4" t="inlineStr">
        <is>
          <t>Электро 1–1,8 т</t>
        </is>
      </c>
      <c r="B56" s="4" t="inlineStr">
        <is>
          <t>II кв. 2027–I кв. 2028</t>
        </is>
      </c>
      <c r="C56" s="4" t="inlineStr">
        <is>
          <t>Консервативный</t>
        </is>
      </c>
      <c r="D56" s="5" t="n">
        <v>25147.60421754276</v>
      </c>
      <c r="E56" s="5" t="n">
        <v>14401.25534153872</v>
      </c>
      <c r="F56" s="5" t="n">
        <v>40030.82197504442</v>
      </c>
      <c r="G56" s="5" t="n">
        <v>9261.98542931788</v>
      </c>
      <c r="H56" s="5" t="n">
        <v>46847.61267278947</v>
      </c>
      <c r="I56" s="5" t="n">
        <v>9440.572017666002</v>
      </c>
      <c r="J56" s="5" t="n">
        <v>42495.63401587825</v>
      </c>
    </row>
    <row r="57">
      <c r="A57" s="4" t="inlineStr">
        <is>
          <t>Электро 1–1,8 т</t>
        </is>
      </c>
      <c r="B57" s="4" t="inlineStr">
        <is>
          <t>II кв. 2027–I кв. 2028</t>
        </is>
      </c>
      <c r="C57" s="4" t="inlineStr">
        <is>
          <t>Оптимистичный</t>
        </is>
      </c>
      <c r="D57" s="5" t="n">
        <v>25776.93889056451</v>
      </c>
      <c r="E57" s="5" t="n">
        <v>14754.95291767041</v>
      </c>
      <c r="F57" s="5" t="n">
        <v>41215.19220370713</v>
      </c>
      <c r="G57" s="5" t="n">
        <v>9407.635222879097</v>
      </c>
      <c r="H57" s="5" t="n">
        <v>48222.38879771277</v>
      </c>
      <c r="I57" s="5" t="n">
        <v>9458.193621004752</v>
      </c>
      <c r="J57" s="5" t="n">
        <v>43590.09601488522</v>
      </c>
    </row>
    <row r="58">
      <c r="A58" s="4" t="inlineStr">
        <is>
          <t>Электро 2–2,5 т</t>
        </is>
      </c>
      <c r="B58" s="4" t="inlineStr">
        <is>
          <t>II кв. 2026–I кв. 2027</t>
        </is>
      </c>
      <c r="C58" s="4" t="inlineStr">
        <is>
          <t>Базовый</t>
        </is>
      </c>
      <c r="D58" s="5" t="n">
        <v>16241.08214552244</v>
      </c>
      <c r="E58" s="5" t="n">
        <v>10222.7809374237</v>
      </c>
      <c r="F58" s="5" t="n">
        <v>23418.42251185674</v>
      </c>
      <c r="G58" s="5" t="n">
        <v>9811.390445454212</v>
      </c>
      <c r="H58" s="5" t="n">
        <v>23471.66842460023</v>
      </c>
      <c r="I58" s="5" t="n">
        <v>10184.1607158245</v>
      </c>
      <c r="J58" s="5" t="n">
        <v>23767.30756562421</v>
      </c>
    </row>
    <row r="59">
      <c r="A59" s="4" t="inlineStr">
        <is>
          <t>Электро 2–2,5 т</t>
        </is>
      </c>
      <c r="B59" s="4" t="inlineStr">
        <is>
          <t>II кв. 2026–I кв. 2027</t>
        </is>
      </c>
      <c r="C59" s="4" t="inlineStr">
        <is>
          <t>Консервативный</t>
        </is>
      </c>
      <c r="D59" s="5" t="n">
        <v>16005.25441404543</v>
      </c>
      <c r="E59" s="5" t="n">
        <v>10113.14410535138</v>
      </c>
      <c r="F59" s="5" t="n">
        <v>23129.95474169225</v>
      </c>
      <c r="G59" s="5" t="n">
        <v>9671.874390791105</v>
      </c>
      <c r="H59" s="5" t="n">
        <v>23117.23830257453</v>
      </c>
      <c r="I59" s="5" t="n">
        <v>9927.246031792452</v>
      </c>
      <c r="J59" s="5" t="n">
        <v>23767.30756562421</v>
      </c>
    </row>
    <row r="60">
      <c r="A60" s="4" t="inlineStr">
        <is>
          <t>Электро 2–2,5 т</t>
        </is>
      </c>
      <c r="B60" s="4" t="inlineStr">
        <is>
          <t>II кв. 2026–I кв. 2027</t>
        </is>
      </c>
      <c r="C60" s="4" t="inlineStr">
        <is>
          <t>Оптимистичный</t>
        </is>
      </c>
      <c r="D60" s="5" t="n">
        <v>16413.17986796967</v>
      </c>
      <c r="E60" s="5" t="n">
        <v>10332.56742675682</v>
      </c>
      <c r="F60" s="5" t="n">
        <v>23724.5054863915</v>
      </c>
      <c r="G60" s="5" t="n">
        <v>9908.376376998236</v>
      </c>
      <c r="H60" s="5" t="n">
        <v>23708.55836501933</v>
      </c>
      <c r="I60" s="5" t="n">
        <v>10322.02070306132</v>
      </c>
      <c r="J60" s="5" t="n">
        <v>23767.85896113562</v>
      </c>
    </row>
    <row r="61">
      <c r="A61" s="4" t="inlineStr">
        <is>
          <t>Электро 2–2,5 т</t>
        </is>
      </c>
      <c r="B61" s="4" t="inlineStr">
        <is>
          <t>II кв. 2027–I кв. 2028</t>
        </is>
      </c>
      <c r="C61" s="4" t="inlineStr">
        <is>
          <t>Базовый</t>
        </is>
      </c>
      <c r="D61" s="5" t="n">
        <v>15998.03323625258</v>
      </c>
      <c r="E61" s="5" t="n">
        <v>7854.522210368696</v>
      </c>
      <c r="F61" s="5" t="n">
        <v>29902.73702455111</v>
      </c>
      <c r="G61" s="5" t="n">
        <v>5208.635738297274</v>
      </c>
      <c r="H61" s="5" t="n">
        <v>36904.56763115354</v>
      </c>
      <c r="I61" s="5" t="n">
        <v>5521.139644842466</v>
      </c>
      <c r="J61" s="5" t="n">
        <v>33984.10277453545</v>
      </c>
    </row>
    <row r="62">
      <c r="A62" s="4" t="inlineStr">
        <is>
          <t>Электро 2–2,5 т</t>
        </is>
      </c>
      <c r="B62" s="4" t="inlineStr">
        <is>
          <t>II кв. 2027–I кв. 2028</t>
        </is>
      </c>
      <c r="C62" s="4" t="inlineStr">
        <is>
          <t>Консервативный</t>
        </is>
      </c>
      <c r="D62" s="5" t="n">
        <v>15849.07934242252</v>
      </c>
      <c r="E62" s="5" t="n">
        <v>7803.595399523894</v>
      </c>
      <c r="F62" s="5" t="n">
        <v>29557.85939752226</v>
      </c>
      <c r="G62" s="5" t="n">
        <v>5124.345614717098</v>
      </c>
      <c r="H62" s="5" t="n">
        <v>36444.94430582286</v>
      </c>
      <c r="I62" s="5" t="n">
        <v>5483.11326435705</v>
      </c>
      <c r="J62" s="5" t="n">
        <v>33918.37844867443</v>
      </c>
    </row>
    <row r="63">
      <c r="A63" s="4" t="inlineStr">
        <is>
          <t>Электро 2–2,5 т</t>
        </is>
      </c>
      <c r="B63" s="4" t="inlineStr">
        <is>
          <t>II кв. 2027–I кв. 2028</t>
        </is>
      </c>
      <c r="C63" s="4" t="inlineStr">
        <is>
          <t>Оптимистичный</t>
        </is>
      </c>
      <c r="D63" s="5" t="n">
        <v>16216.98840313006</v>
      </c>
      <c r="E63" s="5" t="n">
        <v>7981.636265179051</v>
      </c>
      <c r="F63" s="5" t="n">
        <v>30186.27446739346</v>
      </c>
      <c r="G63" s="5" t="n">
        <v>5318.87022473482</v>
      </c>
      <c r="H63" s="5" t="n">
        <v>37564.98969701293</v>
      </c>
      <c r="I63" s="5" t="n">
        <v>5539.389364156033</v>
      </c>
      <c r="J63" s="5" t="n">
        <v>34329.98191302479</v>
      </c>
    </row>
    <row r="64">
      <c r="A64" s="4" t="inlineStr">
        <is>
          <t>Электро 3–3,5 т</t>
        </is>
      </c>
      <c r="B64" s="4" t="inlineStr">
        <is>
          <t>II кв. 2026–I кв. 2027</t>
        </is>
      </c>
      <c r="C64" s="4" t="inlineStr">
        <is>
          <t>Базовый</t>
        </is>
      </c>
      <c r="D64" s="5" t="n">
        <v>10742.60923910629</v>
      </c>
      <c r="E64" s="5" t="n">
        <v>5775.676704624476</v>
      </c>
      <c r="F64" s="5" t="n">
        <v>17312.17929794593</v>
      </c>
      <c r="G64" s="5" t="n">
        <v>5473.132009905804</v>
      </c>
      <c r="H64" s="5" t="n">
        <v>17401.59482621183</v>
      </c>
      <c r="I64" s="5" t="n">
        <v>5654.234750053718</v>
      </c>
      <c r="J64" s="5" t="n">
        <v>17016.46624637348</v>
      </c>
    </row>
    <row r="65">
      <c r="A65" s="4" t="inlineStr">
        <is>
          <t>Электро 3–3,5 т</t>
        </is>
      </c>
      <c r="B65" s="4" t="inlineStr">
        <is>
          <t>II кв. 2026–I кв. 2027</t>
        </is>
      </c>
      <c r="C65" s="4" t="inlineStr">
        <is>
          <t>Консервативный</t>
        </is>
      </c>
      <c r="D65" s="5" t="n">
        <v>10593.48382230108</v>
      </c>
      <c r="E65" s="5" t="n">
        <v>5720.425334516479</v>
      </c>
      <c r="F65" s="5" t="n">
        <v>17126.53616392766</v>
      </c>
      <c r="G65" s="5" t="n">
        <v>5375.636203341262</v>
      </c>
      <c r="H65" s="5" t="n">
        <v>17112.8124108077</v>
      </c>
      <c r="I65" s="5" t="n">
        <v>5463.976477311306</v>
      </c>
      <c r="J65" s="5" t="n">
        <v>16970.17932768946</v>
      </c>
    </row>
    <row r="66">
      <c r="A66" s="4" t="inlineStr">
        <is>
          <t>Электро 3–3,5 т</t>
        </is>
      </c>
      <c r="B66" s="4" t="inlineStr">
        <is>
          <t>II кв. 2026–I кв. 2027</t>
        </is>
      </c>
      <c r="C66" s="4" t="inlineStr">
        <is>
          <t>Оптимистичный</t>
        </is>
      </c>
      <c r="D66" s="5" t="n">
        <v>10859.45177232813</v>
      </c>
      <c r="E66" s="5" t="n">
        <v>5838.907649284274</v>
      </c>
      <c r="F66" s="5" t="n">
        <v>17495.58305566366</v>
      </c>
      <c r="G66" s="5" t="n">
        <v>5507.429635441297</v>
      </c>
      <c r="H66" s="5" t="n">
        <v>17555.89464269395</v>
      </c>
      <c r="I66" s="5" t="n">
        <v>5669.352283478324</v>
      </c>
      <c r="J66" s="5" t="n">
        <v>17143.85688219083</v>
      </c>
    </row>
    <row r="67">
      <c r="A67" s="4" t="inlineStr">
        <is>
          <t>Электро 3–3,5 т</t>
        </is>
      </c>
      <c r="B67" s="4" t="inlineStr">
        <is>
          <t>II кв. 2027–I кв. 2028</t>
        </is>
      </c>
      <c r="C67" s="4" t="inlineStr">
        <is>
          <t>Базовый</t>
        </is>
      </c>
      <c r="D67" s="5" t="n">
        <v>10432.35575592518</v>
      </c>
      <c r="E67" s="5" t="n">
        <v>3749.543921009017</v>
      </c>
      <c r="F67" s="5" t="n">
        <v>23837.25510245466</v>
      </c>
      <c r="G67" s="5" t="n">
        <v>1810.452724392521</v>
      </c>
      <c r="H67" s="5" t="n">
        <v>32184.4515336139</v>
      </c>
      <c r="I67" s="5" t="n">
        <v>2138.793765106735</v>
      </c>
      <c r="J67" s="5" t="n">
        <v>29030.47307337224</v>
      </c>
    </row>
    <row r="68">
      <c r="A68" s="4" t="inlineStr">
        <is>
          <t>Электро 3–3,5 т</t>
        </is>
      </c>
      <c r="B68" s="4" t="inlineStr">
        <is>
          <t>II кв. 2027–I кв. 2028</t>
        </is>
      </c>
      <c r="C68" s="4" t="inlineStr">
        <is>
          <t>Консервативный</t>
        </is>
      </c>
      <c r="D68" s="5" t="n">
        <v>10327.37619152653</v>
      </c>
      <c r="E68" s="5" t="n">
        <v>3740.274948626374</v>
      </c>
      <c r="F68" s="5" t="n">
        <v>23620.12283140019</v>
      </c>
      <c r="G68" s="5" t="n">
        <v>1816.464059200576</v>
      </c>
      <c r="H68" s="5" t="n">
        <v>31752.63288112853</v>
      </c>
      <c r="I68" s="5" t="n">
        <v>2124.13968647239</v>
      </c>
      <c r="J68" s="5" t="n">
        <v>28722.60160292776</v>
      </c>
    </row>
    <row r="69">
      <c r="A69" s="4" t="inlineStr">
        <is>
          <t>Электро 3–3,5 т</t>
        </is>
      </c>
      <c r="B69" s="4" t="inlineStr">
        <is>
          <t>II кв. 2027–I кв. 2028</t>
        </is>
      </c>
      <c r="C69" s="4" t="inlineStr">
        <is>
          <t>Оптимистичный</t>
        </is>
      </c>
      <c r="D69" s="5" t="n">
        <v>10573.12010453893</v>
      </c>
      <c r="E69" s="5" t="n">
        <v>3790.527186338266</v>
      </c>
      <c r="F69" s="5" t="n">
        <v>24208.71081918647</v>
      </c>
      <c r="G69" s="5" t="n">
        <v>1839.494021943662</v>
      </c>
      <c r="H69" s="5" t="n">
        <v>32559.64891163971</v>
      </c>
      <c r="I69" s="5" t="n">
        <v>2138.793765106735</v>
      </c>
      <c r="J69" s="5" t="n">
        <v>29087.66999681138</v>
      </c>
    </row>
    <row r="70">
      <c r="A70" s="4" t="inlineStr">
        <is>
          <t>Электро 3,8–5 т</t>
        </is>
      </c>
      <c r="B70" s="4" t="inlineStr">
        <is>
          <t>II кв. 2026–I кв. 2027</t>
        </is>
      </c>
      <c r="C70" s="4" t="inlineStr">
        <is>
          <t>Базовый</t>
        </is>
      </c>
      <c r="D70" s="5" t="n">
        <v>2322.528946129993</v>
      </c>
      <c r="E70" s="5" t="n">
        <v>1125.201597353248</v>
      </c>
      <c r="F70" s="5" t="n">
        <v>4915.772668935859</v>
      </c>
      <c r="G70" s="5" t="n">
        <v>1013.310003974742</v>
      </c>
      <c r="H70" s="5" t="n">
        <v>4916.549822461101</v>
      </c>
      <c r="I70" s="5" t="n">
        <v>980.3862767817104</v>
      </c>
      <c r="J70" s="5" t="n">
        <v>4843.904026846059</v>
      </c>
    </row>
    <row r="71">
      <c r="A71" s="4" t="inlineStr">
        <is>
          <t>Электро 3,8–5 т</t>
        </is>
      </c>
      <c r="B71" s="4" t="inlineStr">
        <is>
          <t>II кв. 2026–I кв. 2027</t>
        </is>
      </c>
      <c r="C71" s="4" t="inlineStr">
        <is>
          <t>Консервативный</t>
        </is>
      </c>
      <c r="D71" s="5" t="n">
        <v>2287.141503224731</v>
      </c>
      <c r="E71" s="5" t="n">
        <v>1112.162619080258</v>
      </c>
      <c r="F71" s="5" t="n">
        <v>4837.203417678401</v>
      </c>
      <c r="G71" s="5" t="n">
        <v>986.1120182405182</v>
      </c>
      <c r="H71" s="5" t="n">
        <v>4812.32672675522</v>
      </c>
      <c r="I71" s="5" t="n">
        <v>943.6856975193436</v>
      </c>
      <c r="J71" s="5" t="n">
        <v>4807.193414727319</v>
      </c>
    </row>
    <row r="72">
      <c r="A72" s="4" t="inlineStr">
        <is>
          <t>Электро 3,8–5 т</t>
        </is>
      </c>
      <c r="B72" s="4" t="inlineStr">
        <is>
          <t>II кв. 2026–I кв. 2027</t>
        </is>
      </c>
      <c r="C72" s="4" t="inlineStr">
        <is>
          <t>Оптимистичный</t>
        </is>
      </c>
      <c r="D72" s="5" t="n">
        <v>2348.18125826158</v>
      </c>
      <c r="E72" s="5" t="n">
        <v>1133.737445591068</v>
      </c>
      <c r="F72" s="5" t="n">
        <v>4972.585997080389</v>
      </c>
      <c r="G72" s="5" t="n">
        <v>1022.219645194834</v>
      </c>
      <c r="H72" s="5" t="n">
        <v>4986.485386730724</v>
      </c>
      <c r="I72" s="5" t="n">
        <v>998.0932757080558</v>
      </c>
      <c r="J72" s="5" t="n">
        <v>4853.429741578228</v>
      </c>
    </row>
    <row r="73">
      <c r="A73" s="4" t="inlineStr">
        <is>
          <t>Электро 3,8–5 т</t>
        </is>
      </c>
      <c r="B73" s="4" t="inlineStr">
        <is>
          <t>II кв. 2027–I кв. 2028</t>
        </is>
      </c>
      <c r="C73" s="4" t="inlineStr">
        <is>
          <t>Базовый</t>
        </is>
      </c>
      <c r="D73" s="5" t="n">
        <v>2219.934451787268</v>
      </c>
      <c r="E73" s="5" t="n">
        <v>676.9066165379493</v>
      </c>
      <c r="F73" s="5" t="n">
        <v>7074.637810806116</v>
      </c>
      <c r="G73" s="5" t="n">
        <v>377.8371950769417</v>
      </c>
      <c r="H73" s="5" t="n">
        <v>11628.4112959452</v>
      </c>
      <c r="I73" s="5" t="n">
        <v>446.7027584743479</v>
      </c>
      <c r="J73" s="5" t="n">
        <v>10251.66661260074</v>
      </c>
    </row>
    <row r="74">
      <c r="A74" s="4" t="inlineStr">
        <is>
          <t>Электро 3,8–5 т</t>
        </is>
      </c>
      <c r="B74" s="4" t="inlineStr">
        <is>
          <t>II кв. 2027–I кв. 2028</t>
        </is>
      </c>
      <c r="C74" s="4" t="inlineStr">
        <is>
          <t>Консервативный</t>
        </is>
      </c>
      <c r="D74" s="5" t="n">
        <v>2197.421783758069</v>
      </c>
      <c r="E74" s="5" t="n">
        <v>668.0570011147249</v>
      </c>
      <c r="F74" s="5" t="n">
        <v>7019.530812978346</v>
      </c>
      <c r="G74" s="5" t="n">
        <v>361.8981994958387</v>
      </c>
      <c r="H74" s="5" t="n">
        <v>11499.98994621846</v>
      </c>
      <c r="I74" s="5" t="n">
        <v>422.762805878284</v>
      </c>
      <c r="J74" s="5" t="n">
        <v>10238.00074373219</v>
      </c>
    </row>
    <row r="75">
      <c r="A75" s="4" t="inlineStr">
        <is>
          <t>Электро 3,8–5 т</t>
        </is>
      </c>
      <c r="B75" s="4" t="inlineStr">
        <is>
          <t>II кв. 2027–I кв. 2028</t>
        </is>
      </c>
      <c r="C75" s="4" t="inlineStr">
        <is>
          <t>Оптимистичный</t>
        </is>
      </c>
      <c r="D75" s="5" t="n">
        <v>2245.168806873995</v>
      </c>
      <c r="E75" s="5" t="n">
        <v>689.3433368682238</v>
      </c>
      <c r="F75" s="5" t="n">
        <v>7186.244368436815</v>
      </c>
      <c r="G75" s="5" t="n">
        <v>379.5177362701138</v>
      </c>
      <c r="H75" s="5" t="n">
        <v>11783.68124325735</v>
      </c>
      <c r="I75" s="5" t="n">
        <v>456.3614048062086</v>
      </c>
      <c r="J75" s="5" t="n">
        <v>10379.75293230333</v>
      </c>
    </row>
    <row r="76">
      <c r="A76" s="4" t="inlineStr">
        <is>
          <t>Электро 5,5 т+</t>
        </is>
      </c>
      <c r="B76" s="4" t="inlineStr">
        <is>
          <t>II кв. 2026–I кв. 2027</t>
        </is>
      </c>
      <c r="C76" s="4" t="inlineStr">
        <is>
          <t>Базовый</t>
        </is>
      </c>
      <c r="D76" s="5" t="n">
        <v>423.864699342736</v>
      </c>
      <c r="E76" s="5" t="n">
        <v>99.62133740948136</v>
      </c>
      <c r="F76" s="5" t="n">
        <v>1987.872164132644</v>
      </c>
      <c r="G76" s="5" t="n">
        <v>82.45237077285036</v>
      </c>
      <c r="H76" s="5" t="n">
        <v>2077.586511414921</v>
      </c>
      <c r="I76" s="5" t="n">
        <v>80.12247025922713</v>
      </c>
      <c r="J76" s="5" t="n">
        <v>2471.425113238257</v>
      </c>
    </row>
    <row r="77">
      <c r="A77" s="4" t="inlineStr">
        <is>
          <t>Электро 5,5 т+</t>
        </is>
      </c>
      <c r="B77" s="4" t="inlineStr">
        <is>
          <t>II кв. 2026–I кв. 2027</t>
        </is>
      </c>
      <c r="C77" s="4" t="inlineStr">
        <is>
          <t>Консервативный</t>
        </is>
      </c>
      <c r="D77" s="5" t="n">
        <v>417.6376846639333</v>
      </c>
      <c r="E77" s="5" t="n">
        <v>98.63618899441369</v>
      </c>
      <c r="F77" s="5" t="n">
        <v>1986.278420045336</v>
      </c>
      <c r="G77" s="5" t="n">
        <v>78.65997491117564</v>
      </c>
      <c r="H77" s="5" t="n">
        <v>2023.197230320957</v>
      </c>
      <c r="I77" s="5" t="n">
        <v>74.68953662239045</v>
      </c>
      <c r="J77" s="5" t="n">
        <v>2471.425113238257</v>
      </c>
    </row>
    <row r="78">
      <c r="A78" s="4" t="inlineStr">
        <is>
          <t>Электро 5,5 т+</t>
        </is>
      </c>
      <c r="B78" s="4" t="inlineStr">
        <is>
          <t>II кв. 2026–I кв. 2027</t>
        </is>
      </c>
      <c r="C78" s="4" t="inlineStr">
        <is>
          <t>Оптимистичный</t>
        </is>
      </c>
      <c r="D78" s="5" t="n">
        <v>430.7035544714637</v>
      </c>
      <c r="E78" s="5" t="n">
        <v>101.4031279225219</v>
      </c>
      <c r="F78" s="5" t="n">
        <v>2010.57617931399</v>
      </c>
      <c r="G78" s="5" t="n">
        <v>82.98425934570309</v>
      </c>
      <c r="H78" s="5" t="n">
        <v>2127.882069442783</v>
      </c>
      <c r="I78" s="5" t="n">
        <v>83.59026442117749</v>
      </c>
      <c r="J78" s="5" t="n">
        <v>2471.425113238257</v>
      </c>
    </row>
    <row r="79">
      <c r="A79" s="4" t="inlineStr">
        <is>
          <t>Электро 5,5 т+</t>
        </is>
      </c>
      <c r="B79" s="4" t="inlineStr">
        <is>
          <t>II кв. 2027–I кв. 2028</t>
        </is>
      </c>
      <c r="C79" s="4" t="inlineStr">
        <is>
          <t>Базовый</t>
        </is>
      </c>
      <c r="D79" s="5" t="n">
        <v>437.9729214142312</v>
      </c>
      <c r="E79" s="5" t="n">
        <v>34.16342837734799</v>
      </c>
      <c r="F79" s="5" t="n">
        <v>3990.777723822693</v>
      </c>
      <c r="G79" s="5" t="n">
        <v>7.442388833673292</v>
      </c>
      <c r="H79" s="5" t="n">
        <v>11303.25475905556</v>
      </c>
      <c r="I79" s="5" t="n">
        <v>19.25166389459822</v>
      </c>
      <c r="J79" s="5" t="n">
        <v>12236.26479474688</v>
      </c>
    </row>
    <row r="80">
      <c r="A80" s="4" t="inlineStr">
        <is>
          <t>Электро 5,5 т+</t>
        </is>
      </c>
      <c r="B80" s="4" t="inlineStr">
        <is>
          <t>II кв. 2027–I кв. 2028</t>
        </is>
      </c>
      <c r="C80" s="4" t="inlineStr">
        <is>
          <t>Консервативный</t>
        </is>
      </c>
      <c r="D80" s="5" t="n">
        <v>434.5244082585481</v>
      </c>
      <c r="E80" s="5" t="n">
        <v>32.88700419217512</v>
      </c>
      <c r="F80" s="5" t="n">
        <v>3989.690960662493</v>
      </c>
      <c r="G80" s="5" t="n">
        <v>7.276755612450256</v>
      </c>
      <c r="H80" s="5" t="n">
        <v>11073.73719776485</v>
      </c>
      <c r="I80" s="5" t="n">
        <v>15.07128437784394</v>
      </c>
      <c r="J80" s="5" t="n">
        <v>12236.26479474688</v>
      </c>
    </row>
    <row r="81">
      <c r="A81" s="4" t="inlineStr">
        <is>
          <t>Электро 5,5 т+</t>
        </is>
      </c>
      <c r="B81" s="4" t="inlineStr">
        <is>
          <t>II кв. 2027–I кв. 2028</t>
        </is>
      </c>
      <c r="C81" s="4" t="inlineStr">
        <is>
          <t>Оптимистичный</t>
        </is>
      </c>
      <c r="D81" s="5" t="n">
        <v>444.9697678976605</v>
      </c>
      <c r="E81" s="5" t="n">
        <v>35.09335120634627</v>
      </c>
      <c r="F81" s="5" t="n">
        <v>4082.664820827833</v>
      </c>
      <c r="G81" s="5" t="n">
        <v>7.748304542889179</v>
      </c>
      <c r="H81" s="5" t="n">
        <v>11581.98615571132</v>
      </c>
      <c r="I81" s="5" t="n">
        <v>20.9715939903919</v>
      </c>
      <c r="J81" s="5" t="n">
        <v>12236.26479474688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10" customWidth="1" min="5" max="5"/>
  </cols>
  <sheetData>
    <row r="1">
      <c r="A1" s="1" t="inlineStr">
        <is>
          <t>Редактируемый источник: data/external/manual/scenarios.csv</t>
        </is>
      </c>
    </row>
    <row r="3">
      <c r="A3" s="2" t="inlineStr">
        <is>
          <t>сценарий</t>
        </is>
      </c>
      <c r="B3" s="2" t="inlineStr">
        <is>
          <t>фактор</t>
        </is>
      </c>
      <c r="C3" s="2" t="inlineStr">
        <is>
          <t>квартал</t>
        </is>
      </c>
      <c r="D3" s="2" t="inlineStr">
        <is>
          <t>значение</t>
        </is>
      </c>
      <c r="E3" s="2" t="inlineStr">
        <is>
          <t>обоснование</t>
        </is>
      </c>
    </row>
    <row r="4">
      <c r="A4" s="4" t="inlineStr">
        <is>
          <t>Базовый</t>
        </is>
      </c>
      <c r="B4" s="4" t="inlineStr">
        <is>
          <t>Ключевая ставка, средняя за квартал</t>
        </is>
      </c>
      <c r="C4" s="4" t="inlineStr">
        <is>
          <t>2026Q4</t>
        </is>
      </c>
      <c r="D4" s="4" t="n">
        <v>13.75</v>
      </c>
      <c r="E4" s="4" t="inlineStr">
        <is>
          <t>ЦБ 24.07.2026: средняя с 27.07 до конца 2026 г. 13,7–14,0% → середина</t>
        </is>
      </c>
    </row>
    <row r="5">
      <c r="A5" s="4" t="inlineStr">
        <is>
          <t>Базовый</t>
        </is>
      </c>
      <c r="B5" s="4" t="inlineStr">
        <is>
          <t>Ключевая ставка, средняя за квартал</t>
        </is>
      </c>
      <c r="C5" s="4" t="inlineStr">
        <is>
          <t>2027Q1</t>
        </is>
      </c>
      <c r="D5" s="4" t="n">
        <v>12.9</v>
      </c>
      <c r="E5" s="4" t="inlineStr">
        <is>
          <t>ЦБ: средняя за 2027 г. 10,5–12,5% → середина 11,5%; плавное снижение по кварталам</t>
        </is>
      </c>
    </row>
    <row r="6">
      <c r="A6" s="4" t="inlineStr">
        <is>
          <t>Базовый</t>
        </is>
      </c>
      <c r="B6" s="4" t="inlineStr">
        <is>
          <t>Ключевая ставка, средняя за квартал</t>
        </is>
      </c>
      <c r="C6" s="4" t="inlineStr">
        <is>
          <t>2027Q2</t>
        </is>
      </c>
      <c r="D6" s="4" t="n">
        <v>11.9</v>
      </c>
      <c r="E6" s="4" t="inlineStr">
        <is>
          <t>—</t>
        </is>
      </c>
    </row>
    <row r="7">
      <c r="A7" s="4" t="inlineStr">
        <is>
          <t>Базовый</t>
        </is>
      </c>
      <c r="B7" s="4" t="inlineStr">
        <is>
          <t>Ключевая ставка, средняя за квартал</t>
        </is>
      </c>
      <c r="C7" s="4" t="inlineStr">
        <is>
          <t>2027Q3</t>
        </is>
      </c>
      <c r="D7" s="4" t="n">
        <v>11.1</v>
      </c>
      <c r="E7" s="4" t="inlineStr">
        <is>
          <t>—</t>
        </is>
      </c>
    </row>
    <row r="8">
      <c r="A8" s="4" t="inlineStr">
        <is>
          <t>Базовый</t>
        </is>
      </c>
      <c r="B8" s="4" t="inlineStr">
        <is>
          <t>Ключевая ставка, средняя за квартал</t>
        </is>
      </c>
      <c r="C8" s="4" t="inlineStr">
        <is>
          <t>2027Q4</t>
        </is>
      </c>
      <c r="D8" s="4" t="n">
        <v>10.1</v>
      </c>
      <c r="E8" s="4" t="inlineStr">
        <is>
          <t>среднее 2027 = 11,5%</t>
        </is>
      </c>
    </row>
    <row r="9">
      <c r="A9" s="4" t="inlineStr">
        <is>
          <t>Базовый</t>
        </is>
      </c>
      <c r="B9" s="4" t="inlineStr">
        <is>
          <t>Инвестиции в основной капитал, г/г</t>
        </is>
      </c>
      <c r="C9" s="4" t="inlineStr">
        <is>
          <t>2026Q3</t>
        </is>
      </c>
      <c r="D9" s="4" t="n">
        <v>-3</v>
      </c>
      <c r="E9" s="4" t="inlineStr">
        <is>
          <t>Минэк (прогноз СЭР, сент. 2026): 2026 = −5,4% при факте I пол. −9,9% → II пол. ≈ −2,4% (вес I пол. в годовом объёме принят 0,4)</t>
        </is>
      </c>
    </row>
    <row r="10">
      <c r="A10" s="4" t="inlineStr">
        <is>
          <t>Базовый</t>
        </is>
      </c>
      <c r="B10" s="4" t="inlineStr">
        <is>
          <t>Инвестиции в основной капитал, г/г</t>
        </is>
      </c>
      <c r="C10" s="4" t="inlineStr">
        <is>
          <t>2026Q4</t>
        </is>
      </c>
      <c r="D10" s="4" t="n">
        <v>-1.8</v>
      </c>
      <c r="E10" s="4" t="inlineStr">
        <is>
          <t>—</t>
        </is>
      </c>
    </row>
    <row r="11">
      <c r="A11" s="4" t="inlineStr">
        <is>
          <t>Базовый</t>
        </is>
      </c>
      <c r="B11" s="4" t="inlineStr">
        <is>
          <t>Инвестиции в основной капитал, г/г</t>
        </is>
      </c>
      <c r="C11" s="4" t="inlineStr">
        <is>
          <t>2027Q1</t>
        </is>
      </c>
      <c r="D11" s="4" t="n">
        <v>-0.5</v>
      </c>
      <c r="E11" s="4" t="inlineStr">
        <is>
          <t>Минэк: 2027 = +0,2%</t>
        </is>
      </c>
    </row>
    <row r="12">
      <c r="A12" s="4" t="inlineStr">
        <is>
          <t>Базовый</t>
        </is>
      </c>
      <c r="B12" s="4" t="inlineStr">
        <is>
          <t>Инвестиции в основной капитал, г/г</t>
        </is>
      </c>
      <c r="C12" s="4" t="inlineStr">
        <is>
          <t>2027Q2</t>
        </is>
      </c>
      <c r="D12" s="4" t="n">
        <v>0</v>
      </c>
      <c r="E12" s="4" t="inlineStr">
        <is>
          <t>—</t>
        </is>
      </c>
    </row>
    <row r="13">
      <c r="A13" s="4" t="inlineStr">
        <is>
          <t>Базовый</t>
        </is>
      </c>
      <c r="B13" s="4" t="inlineStr">
        <is>
          <t>Инвестиции в основной капитал, г/г</t>
        </is>
      </c>
      <c r="C13" s="4" t="inlineStr">
        <is>
          <t>2027Q3</t>
        </is>
      </c>
      <c r="D13" s="4" t="n">
        <v>0.4</v>
      </c>
      <c r="E13" s="4" t="inlineStr">
        <is>
          <t>—</t>
        </is>
      </c>
    </row>
    <row r="14">
      <c r="A14" s="4" t="inlineStr">
        <is>
          <t>Базовый</t>
        </is>
      </c>
      <c r="B14" s="4" t="inlineStr">
        <is>
          <t>Инвестиции в основной капитал, г/г</t>
        </is>
      </c>
      <c r="C14" s="4" t="inlineStr">
        <is>
          <t>2027Q4</t>
        </is>
      </c>
      <c r="D14" s="4" t="n">
        <v>0.9</v>
      </c>
      <c r="E14" s="4" t="inlineStr">
        <is>
          <t>среднее 2027 ≈ +0,2%</t>
        </is>
      </c>
    </row>
    <row r="15">
      <c r="A15" s="4" t="inlineStr">
        <is>
          <t>Базовый</t>
        </is>
      </c>
      <c r="B15" s="4" t="inlineStr">
        <is>
          <t>Инвестиции в основной капитал, г/г</t>
        </is>
      </c>
      <c r="C15" s="4" t="inlineStr">
        <is>
          <t>2028Q1</t>
        </is>
      </c>
      <c r="D15" s="4" t="n">
        <v>2</v>
      </c>
      <c r="E15" s="4" t="inlineStr">
        <is>
          <t>Минэк: 2028 = +2,5%</t>
        </is>
      </c>
    </row>
    <row r="16">
      <c r="A16" s="4" t="inlineStr">
        <is>
          <t>Консервативный</t>
        </is>
      </c>
      <c r="B16" s="4" t="inlineStr">
        <is>
          <t>Ключевая ставка, средняя за квартал</t>
        </is>
      </c>
      <c r="C16" s="4" t="inlineStr">
        <is>
          <t>2026Q4</t>
        </is>
      </c>
      <c r="D16" s="4" t="n">
        <v>14</v>
      </c>
      <c r="E16" s="4" t="inlineStr">
        <is>
          <t>верхняя граница ЦБ на остаток 2026 г. (пауза на 14%)</t>
        </is>
      </c>
    </row>
    <row r="17">
      <c r="A17" s="4" t="inlineStr">
        <is>
          <t>Консервативный</t>
        </is>
      </c>
      <c r="B17" s="4" t="inlineStr">
        <is>
          <t>Ключевая ставка, средняя за квартал</t>
        </is>
      </c>
      <c r="C17" s="4" t="inlineStr">
        <is>
          <t>2027Q1</t>
        </is>
      </c>
      <c r="D17" s="4" t="n">
        <v>13.6</v>
      </c>
      <c r="E17" s="4" t="inlineStr">
        <is>
          <t>ЦБ: верхняя граница 2027 г. 12,5% (близко к медиане опроса аналитиков ЦБ 12,4%)</t>
        </is>
      </c>
    </row>
    <row r="18">
      <c r="A18" s="4" t="inlineStr">
        <is>
          <t>Консервативный</t>
        </is>
      </c>
      <c r="B18" s="4" t="inlineStr">
        <is>
          <t>Ключевая ставка, средняя за квартал</t>
        </is>
      </c>
      <c r="C18" s="4" t="inlineStr">
        <is>
          <t>2027Q2</t>
        </is>
      </c>
      <c r="D18" s="4" t="n">
        <v>12.8</v>
      </c>
      <c r="E18" s="4" t="inlineStr">
        <is>
          <t>—</t>
        </is>
      </c>
    </row>
    <row r="19">
      <c r="A19" s="4" t="inlineStr">
        <is>
          <t>Консервативный</t>
        </is>
      </c>
      <c r="B19" s="4" t="inlineStr">
        <is>
          <t>Ключевая ставка, средняя за квартал</t>
        </is>
      </c>
      <c r="C19" s="4" t="inlineStr">
        <is>
          <t>2027Q3</t>
        </is>
      </c>
      <c r="D19" s="4" t="n">
        <v>12.2</v>
      </c>
      <c r="E19" s="4" t="inlineStr">
        <is>
          <t>—</t>
        </is>
      </c>
    </row>
    <row r="20">
      <c r="A20" s="4" t="inlineStr">
        <is>
          <t>Консервативный</t>
        </is>
      </c>
      <c r="B20" s="4" t="inlineStr">
        <is>
          <t>Ключевая ставка, средняя за квартал</t>
        </is>
      </c>
      <c r="C20" s="4" t="inlineStr">
        <is>
          <t>2027Q4</t>
        </is>
      </c>
      <c r="D20" s="4" t="n">
        <v>11.4</v>
      </c>
      <c r="E20" s="4" t="inlineStr">
        <is>
          <t>среднее 2027 = 12,5%</t>
        </is>
      </c>
    </row>
    <row r="21">
      <c r="A21" s="4" t="inlineStr">
        <is>
          <t>Консервативный</t>
        </is>
      </c>
      <c r="B21" s="4" t="inlineStr">
        <is>
          <t>Инвестиции в основной капитал, г/г</t>
        </is>
      </c>
      <c r="C21" s="4" t="inlineStr">
        <is>
          <t>2026Q3</t>
        </is>
      </c>
      <c r="D21" s="4" t="n">
        <v>-6.5</v>
      </c>
      <c r="E21" s="4" t="inlineStr">
        <is>
          <t>стресс-допущение (опубликованного консервативного прогноза инвестиций не найдено): спад II пол. 2026 ≈ −6% → год ≈ −7,5% (хуже Минэка −5,4%)</t>
        </is>
      </c>
    </row>
    <row r="22">
      <c r="A22" s="4" t="inlineStr">
        <is>
          <t>Консервативный</t>
        </is>
      </c>
      <c r="B22" s="4" t="inlineStr">
        <is>
          <t>Инвестиции в основной капитал, г/г</t>
        </is>
      </c>
      <c r="C22" s="4" t="inlineStr">
        <is>
          <t>2026Q4</t>
        </is>
      </c>
      <c r="D22" s="4" t="n">
        <v>-5.5</v>
      </c>
      <c r="E22" s="4" t="inlineStr">
        <is>
          <t>—</t>
        </is>
      </c>
    </row>
    <row r="23">
      <c r="A23" s="4" t="inlineStr">
        <is>
          <t>Консервативный</t>
        </is>
      </c>
      <c r="B23" s="4" t="inlineStr">
        <is>
          <t>Инвестиции в основной капитал, г/г</t>
        </is>
      </c>
      <c r="C23" s="4" t="inlineStr">
        <is>
          <t>2027Q1</t>
        </is>
      </c>
      <c r="D23" s="4" t="n">
        <v>-3</v>
      </c>
      <c r="E23" s="4" t="inlineStr">
        <is>
          <t>стресс-допущение: 2027 ≈ −2% вместо +0,2% у Минэка (консервативный вариант Минэка — «дополнительно −0,8%», формулировка неоднозначна)</t>
        </is>
      </c>
    </row>
    <row r="24">
      <c r="A24" s="4" t="inlineStr">
        <is>
          <t>Консервативный</t>
        </is>
      </c>
      <c r="B24" s="4" t="inlineStr">
        <is>
          <t>Инвестиции в основной капитал, г/г</t>
        </is>
      </c>
      <c r="C24" s="4" t="inlineStr">
        <is>
          <t>2027Q2</t>
        </is>
      </c>
      <c r="D24" s="4" t="n">
        <v>-2.5</v>
      </c>
      <c r="E24" s="4" t="inlineStr">
        <is>
          <t>—</t>
        </is>
      </c>
    </row>
    <row r="25">
      <c r="A25" s="4" t="inlineStr">
        <is>
          <t>Консервативный</t>
        </is>
      </c>
      <c r="B25" s="4" t="inlineStr">
        <is>
          <t>Инвестиции в основной капитал, г/г</t>
        </is>
      </c>
      <c r="C25" s="4" t="inlineStr">
        <is>
          <t>2027Q3</t>
        </is>
      </c>
      <c r="D25" s="4" t="n">
        <v>-1.5</v>
      </c>
      <c r="E25" s="4" t="inlineStr">
        <is>
          <t>—</t>
        </is>
      </c>
    </row>
    <row r="26">
      <c r="A26" s="4" t="inlineStr">
        <is>
          <t>Консервативный</t>
        </is>
      </c>
      <c r="B26" s="4" t="inlineStr">
        <is>
          <t>Инвестиции в основной капитал, г/г</t>
        </is>
      </c>
      <c r="C26" s="4" t="inlineStr">
        <is>
          <t>2027Q4</t>
        </is>
      </c>
      <c r="D26" s="4" t="n">
        <v>-1</v>
      </c>
      <c r="E26" s="4" t="inlineStr">
        <is>
          <t>—</t>
        </is>
      </c>
    </row>
    <row r="27">
      <c r="A27" s="4" t="inlineStr">
        <is>
          <t>Консервативный</t>
        </is>
      </c>
      <c r="B27" s="4" t="inlineStr">
        <is>
          <t>Инвестиции в основной капитал, г/г</t>
        </is>
      </c>
      <c r="C27" s="4" t="inlineStr">
        <is>
          <t>2028Q1</t>
        </is>
      </c>
      <c r="D27" s="4" t="n">
        <v>0</v>
      </c>
      <c r="E27" s="4" t="inlineStr">
        <is>
          <t>—</t>
        </is>
      </c>
    </row>
    <row r="28">
      <c r="A28" s="4" t="inlineStr">
        <is>
          <t>Оптимистичный</t>
        </is>
      </c>
      <c r="B28" s="4" t="inlineStr">
        <is>
          <t>Ключевая ставка, средняя за квартал</t>
        </is>
      </c>
      <c r="C28" s="4" t="inlineStr">
        <is>
          <t>2026Q4</t>
        </is>
      </c>
      <c r="D28" s="4" t="n">
        <v>13.5</v>
      </c>
      <c r="E28" s="4" t="inlineStr">
        <is>
          <t>снижение на октябрьском заседании (нижняя часть коридора ЦБ)</t>
        </is>
      </c>
    </row>
    <row r="29">
      <c r="A29" s="4" t="inlineStr">
        <is>
          <t>Оптимистичный</t>
        </is>
      </c>
      <c r="B29" s="4" t="inlineStr">
        <is>
          <t>Ключевая ставка, средняя за квартал</t>
        </is>
      </c>
      <c r="C29" s="4" t="inlineStr">
        <is>
          <t>2027Q1</t>
        </is>
      </c>
      <c r="D29" s="4" t="n">
        <v>12</v>
      </c>
      <c r="E29" s="4" t="inlineStr">
        <is>
          <t>ЦБ: нижняя граница 2027 г. 10,5%</t>
        </is>
      </c>
    </row>
    <row r="30">
      <c r="A30" s="4" t="inlineStr">
        <is>
          <t>Оптимистичный</t>
        </is>
      </c>
      <c r="B30" s="4" t="inlineStr">
        <is>
          <t>Ключевая ставка, средняя за квартал</t>
        </is>
      </c>
      <c r="C30" s="4" t="inlineStr">
        <is>
          <t>2027Q2</t>
        </is>
      </c>
      <c r="D30" s="4" t="n">
        <v>10.8</v>
      </c>
      <c r="E30" s="4" t="inlineStr">
        <is>
          <t>—</t>
        </is>
      </c>
    </row>
    <row r="31">
      <c r="A31" s="4" t="inlineStr">
        <is>
          <t>Оптимистичный</t>
        </is>
      </c>
      <c r="B31" s="4" t="inlineStr">
        <is>
          <t>Ключевая ставка, средняя за квартал</t>
        </is>
      </c>
      <c r="C31" s="4" t="inlineStr">
        <is>
          <t>2027Q3</t>
        </is>
      </c>
      <c r="D31" s="4" t="n">
        <v>10</v>
      </c>
      <c r="E31" s="4" t="inlineStr">
        <is>
          <t>—</t>
        </is>
      </c>
    </row>
    <row r="32">
      <c r="A32" s="4" t="inlineStr">
        <is>
          <t>Оптимистичный</t>
        </is>
      </c>
      <c r="B32" s="4" t="inlineStr">
        <is>
          <t>Ключевая ставка, средняя за квартал</t>
        </is>
      </c>
      <c r="C32" s="4" t="inlineStr">
        <is>
          <t>2027Q4</t>
        </is>
      </c>
      <c r="D32" s="4" t="n">
        <v>9.199999999999999</v>
      </c>
      <c r="E32" s="4" t="inlineStr">
        <is>
          <t>среднее 2027 = 10,5%</t>
        </is>
      </c>
    </row>
    <row r="33">
      <c r="A33" s="4" t="inlineStr">
        <is>
          <t>Оптимистичный</t>
        </is>
      </c>
      <c r="B33" s="4" t="inlineStr">
        <is>
          <t>Инвестиции в основной капитал, г/г</t>
        </is>
      </c>
      <c r="C33" s="4" t="inlineStr">
        <is>
          <t>2026Q3</t>
        </is>
      </c>
      <c r="D33" s="4" t="n">
        <v>-1</v>
      </c>
      <c r="E33" s="4" t="inlineStr">
        <is>
          <t>быстрое прекращение спада: II пол. 2026 ≈ 0% (год ≈ −4%, лучше Минэка)</t>
        </is>
      </c>
    </row>
    <row r="34">
      <c r="A34" s="4" t="inlineStr">
        <is>
          <t>Оптимистичный</t>
        </is>
      </c>
      <c r="B34" s="4" t="inlineStr">
        <is>
          <t>Инвестиции в основной капитал, г/г</t>
        </is>
      </c>
      <c r="C34" s="4" t="inlineStr">
        <is>
          <t>2026Q4</t>
        </is>
      </c>
      <c r="D34" s="4" t="n">
        <v>1</v>
      </c>
      <c r="E34" s="4" t="inlineStr">
        <is>
          <t>—</t>
        </is>
      </c>
    </row>
    <row r="35">
      <c r="A35" s="4" t="inlineStr">
        <is>
          <t>Оптимистичный</t>
        </is>
      </c>
      <c r="B35" s="4" t="inlineStr">
        <is>
          <t>Инвестиции в основной капитал, г/г</t>
        </is>
      </c>
      <c r="C35" s="4" t="inlineStr">
        <is>
          <t>2027Q1</t>
        </is>
      </c>
      <c r="D35" s="4" t="n">
        <v>2</v>
      </c>
      <c r="E35" s="4" t="inlineStr">
        <is>
          <t>ЦБ: валовое накопление основного капитала 2027 +2…+4% → середина +3%</t>
        </is>
      </c>
    </row>
    <row r="36">
      <c r="A36" s="4" t="inlineStr">
        <is>
          <t>Оптимистичный</t>
        </is>
      </c>
      <c r="B36" s="4" t="inlineStr">
        <is>
          <t>Инвестиции в основной капитал, г/г</t>
        </is>
      </c>
      <c r="C36" s="4" t="inlineStr">
        <is>
          <t>2027Q2</t>
        </is>
      </c>
      <c r="D36" s="4" t="n">
        <v>3</v>
      </c>
      <c r="E36" s="4" t="inlineStr">
        <is>
          <t>—</t>
        </is>
      </c>
    </row>
    <row r="37">
      <c r="A37" s="4" t="inlineStr">
        <is>
          <t>Оптимистичный</t>
        </is>
      </c>
      <c r="B37" s="4" t="inlineStr">
        <is>
          <t>Инвестиции в основной капитал, г/г</t>
        </is>
      </c>
      <c r="C37" s="4" t="inlineStr">
        <is>
          <t>2027Q3</t>
        </is>
      </c>
      <c r="D37" s="4" t="n">
        <v>3.5</v>
      </c>
      <c r="E37" s="4" t="inlineStr">
        <is>
          <t>—</t>
        </is>
      </c>
    </row>
    <row r="38">
      <c r="A38" s="4" t="inlineStr">
        <is>
          <t>Оптимистичный</t>
        </is>
      </c>
      <c r="B38" s="4" t="inlineStr">
        <is>
          <t>Инвестиции в основной капитал, г/г</t>
        </is>
      </c>
      <c r="C38" s="4" t="inlineStr">
        <is>
          <t>2027Q4</t>
        </is>
      </c>
      <c r="D38" s="4" t="n">
        <v>3.5</v>
      </c>
      <c r="E38" s="4" t="inlineStr">
        <is>
          <t>—</t>
        </is>
      </c>
    </row>
    <row r="39">
      <c r="A39" s="4" t="inlineStr">
        <is>
          <t>Оптимистичный</t>
        </is>
      </c>
      <c r="B39" s="4" t="inlineStr">
        <is>
          <t>Инвестиции в основной капитал, г/г</t>
        </is>
      </c>
      <c r="C39" s="4" t="inlineStr">
        <is>
          <t>2028Q1</t>
        </is>
      </c>
      <c r="D39" s="4" t="n">
        <v>3</v>
      </c>
      <c r="E39" s="4" t="inlineStr">
        <is>
          <t>ЦБ: ВНОК 2028 +1,5…+3,5%</t>
        </is>
      </c>
    </row>
    <row r="40">
      <c r="A40" s="4" t="inlineStr">
        <is>
          <t>Базовый</t>
        </is>
      </c>
      <c r="B40" s="4" t="inlineStr">
        <is>
          <t>Передача снижения ставки в спрос, доля</t>
        </is>
      </c>
      <c r="C40" s="4" t="inlineStr">
        <is>
          <t>all</t>
        </is>
      </c>
      <c r="D40" s="4" t="n">
        <v>1</v>
      </c>
      <c r="E40" s="4" t="inlineStr">
        <is>
          <t>снижение ставки влияет на спрос так же, как рост (эластичность, оценённая на 2023–2026)</t>
        </is>
      </c>
    </row>
    <row r="41">
      <c r="A41" s="4" t="inlineStr">
        <is>
          <t>Консервативный</t>
        </is>
      </c>
      <c r="B41" s="4" t="inlineStr">
        <is>
          <t>Передача снижения ставки в спрос, доля</t>
        </is>
      </c>
      <c r="C41" s="4" t="inlineStr">
        <is>
          <t>all</t>
        </is>
      </c>
      <c r="D41" s="4" t="n">
        <v>0.5</v>
      </c>
      <c r="E41" s="4" t="inlineStr">
        <is>
          <t>гипотеза: снижение ставки передаётся в спрос наполовину (долговая нагрузка клиентов, жёсткие лизинговые скоринги, структурный сдвиг от ДВС); данными не проверяется — в истории один цикл ставки</t>
        </is>
      </c>
    </row>
    <row r="42">
      <c r="A42" s="4" t="inlineStr">
        <is>
          <t>Оптимистичный</t>
        </is>
      </c>
      <c r="B42" s="4" t="inlineStr">
        <is>
          <t>Передача снижения ставки в спрос, доля</t>
        </is>
      </c>
      <c r="C42" s="4" t="inlineStr">
        <is>
          <t>all</t>
        </is>
      </c>
      <c r="D42" s="4" t="n">
        <v>1</v>
      </c>
      <c r="E42" s="4" t="inlineStr">
        <is>
          <t>полная передача, как в базовом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Данные заказчика по сегментам и кварталам, шт.</t>
        </is>
      </c>
    </row>
    <row r="3">
      <c r="A3" s="2" t="inlineStr">
        <is>
          <t>тип</t>
        </is>
      </c>
      <c r="B3" s="2" t="inlineStr">
        <is>
          <t>сегмент</t>
        </is>
      </c>
      <c r="C3" s="2" t="inlineStr">
        <is>
          <t>2023Q1</t>
        </is>
      </c>
      <c r="D3" s="2" t="inlineStr">
        <is>
          <t>2023Q2</t>
        </is>
      </c>
      <c r="E3" s="2" t="inlineStr">
        <is>
          <t>2023Q3</t>
        </is>
      </c>
      <c r="F3" s="2" t="inlineStr">
        <is>
          <t>2023Q4</t>
        </is>
      </c>
      <c r="G3" s="2" t="inlineStr">
        <is>
          <t>2024Q1</t>
        </is>
      </c>
      <c r="H3" s="2" t="inlineStr">
        <is>
          <t>2024Q2</t>
        </is>
      </c>
      <c r="I3" s="2" t="inlineStr">
        <is>
          <t>2024Q3</t>
        </is>
      </c>
      <c r="J3" s="2" t="inlineStr">
        <is>
          <t>2024Q4</t>
        </is>
      </c>
      <c r="K3" s="2" t="inlineStr">
        <is>
          <t>2025Q1</t>
        </is>
      </c>
      <c r="L3" s="2" t="inlineStr">
        <is>
          <t>2025Q2</t>
        </is>
      </c>
      <c r="M3" s="2" t="inlineStr">
        <is>
          <t>2025Q3</t>
        </is>
      </c>
      <c r="N3" s="2" t="inlineStr">
        <is>
          <t>2025Q4</t>
        </is>
      </c>
      <c r="O3" s="2" t="inlineStr">
        <is>
          <t>2026Q1</t>
        </is>
      </c>
    </row>
    <row r="4">
      <c r="A4" s="4" t="inlineStr">
        <is>
          <t>ДВС</t>
        </is>
      </c>
      <c r="B4" s="4" t="inlineStr">
        <is>
          <t>1–1,8 т</t>
        </is>
      </c>
      <c r="C4" s="5" t="n">
        <v>3050</v>
      </c>
      <c r="D4" s="5" t="n">
        <v>3080</v>
      </c>
      <c r="E4" s="5" t="n">
        <v>4050</v>
      </c>
      <c r="F4" s="5" t="n">
        <v>2660</v>
      </c>
      <c r="G4" s="5" t="n">
        <v>1530</v>
      </c>
      <c r="H4" s="5" t="n">
        <v>3840</v>
      </c>
      <c r="I4" s="5" t="n">
        <v>2870</v>
      </c>
      <c r="J4" s="5" t="n">
        <v>4160</v>
      </c>
      <c r="K4" s="5" t="n">
        <v>1750</v>
      </c>
      <c r="L4" s="5" t="n">
        <v>1130</v>
      </c>
      <c r="M4" s="5" t="n">
        <v>1450</v>
      </c>
      <c r="N4" s="5" t="n">
        <v>2070</v>
      </c>
      <c r="O4" s="5" t="n">
        <v>1210</v>
      </c>
    </row>
    <row r="5">
      <c r="A5" s="4" t="inlineStr">
        <is>
          <t>ДВС</t>
        </is>
      </c>
      <c r="B5" s="4" t="inlineStr">
        <is>
          <t>2–2,5 т</t>
        </is>
      </c>
      <c r="C5" s="5" t="n">
        <v>2970</v>
      </c>
      <c r="D5" s="5" t="n">
        <v>1860</v>
      </c>
      <c r="E5" s="5" t="n">
        <v>2710</v>
      </c>
      <c r="F5" s="5" t="n">
        <v>3160</v>
      </c>
      <c r="G5" s="5" t="n">
        <v>1640</v>
      </c>
      <c r="H5" s="5" t="n">
        <v>2640</v>
      </c>
      <c r="I5" s="5" t="n">
        <v>2670</v>
      </c>
      <c r="J5" s="5" t="n">
        <v>3250</v>
      </c>
      <c r="K5" s="5" t="n">
        <v>2180</v>
      </c>
      <c r="L5" s="5" t="n">
        <v>1190</v>
      </c>
      <c r="M5" s="5" t="n">
        <v>1200</v>
      </c>
      <c r="N5" s="5" t="n">
        <v>1290</v>
      </c>
      <c r="O5" s="5" t="n">
        <v>1150</v>
      </c>
    </row>
    <row r="6">
      <c r="A6" s="4" t="inlineStr">
        <is>
          <t>ДВС</t>
        </is>
      </c>
      <c r="B6" s="4" t="inlineStr">
        <is>
          <t>3–3,5 т</t>
        </is>
      </c>
      <c r="C6" s="5" t="n">
        <v>6050</v>
      </c>
      <c r="D6" s="5" t="n">
        <v>5500</v>
      </c>
      <c r="E6" s="5" t="n">
        <v>5730</v>
      </c>
      <c r="F6" s="5" t="n">
        <v>8520</v>
      </c>
      <c r="G6" s="5" t="n">
        <v>3240</v>
      </c>
      <c r="H6" s="5" t="n">
        <v>5100</v>
      </c>
      <c r="I6" s="5" t="n">
        <v>5260</v>
      </c>
      <c r="J6" s="5" t="n">
        <v>6510</v>
      </c>
      <c r="K6" s="5" t="n">
        <v>3420</v>
      </c>
      <c r="L6" s="5" t="n">
        <v>2430</v>
      </c>
      <c r="M6" s="5" t="n">
        <v>2400</v>
      </c>
      <c r="N6" s="5" t="n">
        <v>1650</v>
      </c>
      <c r="O6" s="5" t="n">
        <v>1960</v>
      </c>
    </row>
    <row r="7">
      <c r="A7" s="4" t="inlineStr">
        <is>
          <t>ДВС</t>
        </is>
      </c>
      <c r="B7" s="4" t="inlineStr">
        <is>
          <t>3,8–5 т</t>
        </is>
      </c>
      <c r="C7" s="5" t="n">
        <v>980</v>
      </c>
      <c r="D7" s="5" t="n">
        <v>1220</v>
      </c>
      <c r="E7" s="5" t="n">
        <v>1020</v>
      </c>
      <c r="F7" s="5" t="n">
        <v>960</v>
      </c>
      <c r="G7" s="5" t="n">
        <v>600</v>
      </c>
      <c r="H7" s="5" t="n">
        <v>1200</v>
      </c>
      <c r="I7" s="5" t="n">
        <v>700</v>
      </c>
      <c r="J7" s="5" t="n">
        <v>1050</v>
      </c>
      <c r="K7" s="5" t="n">
        <v>420</v>
      </c>
      <c r="L7" s="5" t="n">
        <v>340</v>
      </c>
      <c r="M7" s="5" t="n">
        <v>470</v>
      </c>
      <c r="N7" s="5" t="n">
        <v>510</v>
      </c>
      <c r="O7" s="5" t="n">
        <v>260</v>
      </c>
    </row>
    <row r="8">
      <c r="A8" s="4" t="inlineStr">
        <is>
          <t>ДВС</t>
        </is>
      </c>
      <c r="B8" s="4" t="inlineStr">
        <is>
          <t>6–8 т</t>
        </is>
      </c>
      <c r="C8" s="5" t="n">
        <v>180</v>
      </c>
      <c r="D8" s="5" t="n">
        <v>100</v>
      </c>
      <c r="E8" s="5" t="n">
        <v>170</v>
      </c>
      <c r="F8" s="5" t="n">
        <v>200</v>
      </c>
      <c r="G8" s="5" t="n">
        <v>160</v>
      </c>
      <c r="H8" s="5" t="n">
        <v>200</v>
      </c>
      <c r="I8" s="5" t="n">
        <v>80</v>
      </c>
      <c r="J8" s="5" t="n">
        <v>120</v>
      </c>
      <c r="K8" s="5" t="n">
        <v>40</v>
      </c>
      <c r="L8" s="5" t="n">
        <v>50</v>
      </c>
      <c r="M8" s="5" t="n">
        <v>110</v>
      </c>
      <c r="N8" s="5" t="n">
        <v>150</v>
      </c>
      <c r="O8" s="5" t="n">
        <v>130</v>
      </c>
    </row>
    <row r="9">
      <c r="A9" s="4" t="inlineStr">
        <is>
          <t>ДВС</t>
        </is>
      </c>
      <c r="B9" s="4" t="inlineStr">
        <is>
          <t>8,5–10 т</t>
        </is>
      </c>
      <c r="C9" s="5" t="n">
        <v>90</v>
      </c>
      <c r="D9" s="5" t="n">
        <v>140</v>
      </c>
      <c r="E9" s="5" t="n">
        <v>40</v>
      </c>
      <c r="F9" s="5" t="n">
        <v>150</v>
      </c>
      <c r="G9" s="5" t="n">
        <v>70</v>
      </c>
      <c r="H9" s="5" t="n">
        <v>180</v>
      </c>
      <c r="I9" s="5" t="n">
        <v>90</v>
      </c>
      <c r="J9" s="5" t="n">
        <v>140</v>
      </c>
      <c r="K9" s="5" t="n">
        <v>100</v>
      </c>
      <c r="L9" s="5" t="n">
        <v>70</v>
      </c>
      <c r="M9" s="5" t="n">
        <v>100</v>
      </c>
      <c r="N9" s="5" t="n">
        <v>80</v>
      </c>
      <c r="O9" s="5" t="n">
        <v>80</v>
      </c>
    </row>
    <row r="10">
      <c r="A10" s="4" t="inlineStr">
        <is>
          <t>ДВС</t>
        </is>
      </c>
      <c r="B10" s="4" t="inlineStr">
        <is>
          <t>11–18 т</t>
        </is>
      </c>
      <c r="C10" s="5" t="n">
        <v>20</v>
      </c>
      <c r="D10" s="5" t="n">
        <v>30</v>
      </c>
      <c r="E10" s="5" t="n">
        <v>40</v>
      </c>
      <c r="F10" s="5" t="n">
        <v>40</v>
      </c>
      <c r="G10" s="5" t="n">
        <v>0</v>
      </c>
      <c r="H10" s="5" t="n">
        <v>20</v>
      </c>
      <c r="I10" s="5" t="n">
        <v>20</v>
      </c>
      <c r="J10" s="5" t="n">
        <v>0</v>
      </c>
      <c r="K10" s="5" t="n">
        <v>30</v>
      </c>
      <c r="L10" s="5" t="n">
        <v>20</v>
      </c>
      <c r="M10" s="5" t="n">
        <v>30</v>
      </c>
      <c r="N10" s="5" t="n">
        <v>40</v>
      </c>
      <c r="O10" s="5" t="n">
        <v>30</v>
      </c>
    </row>
    <row r="11">
      <c r="A11" s="4" t="inlineStr">
        <is>
          <t>ДВС</t>
        </is>
      </c>
      <c r="B11" s="4" t="inlineStr">
        <is>
          <t>20–25 т</t>
        </is>
      </c>
      <c r="C11" s="5" t="n">
        <v>0</v>
      </c>
      <c r="D11" s="5" t="n">
        <v>20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10</v>
      </c>
      <c r="J11" s="5" t="n">
        <v>10</v>
      </c>
      <c r="K11" s="5" t="n">
        <v>0</v>
      </c>
      <c r="L11" s="5" t="n">
        <v>10</v>
      </c>
      <c r="M11" s="5" t="n">
        <v>0</v>
      </c>
      <c r="N11" s="5" t="n">
        <v>0</v>
      </c>
      <c r="O11" s="5" t="n">
        <v>0</v>
      </c>
    </row>
    <row r="12">
      <c r="A12" s="4" t="inlineStr">
        <is>
          <t>Электро</t>
        </is>
      </c>
      <c r="B12" s="4" t="inlineStr">
        <is>
          <t>1–1,8 т</t>
        </is>
      </c>
      <c r="C12" s="5" t="n">
        <v>6200</v>
      </c>
      <c r="D12" s="5" t="n">
        <v>9310</v>
      </c>
      <c r="E12" s="5" t="n">
        <v>10790</v>
      </c>
      <c r="F12" s="5" t="n">
        <v>8160</v>
      </c>
      <c r="G12" s="5" t="n">
        <v>6990</v>
      </c>
      <c r="H12" s="5" t="n">
        <v>10250</v>
      </c>
      <c r="I12" s="5" t="n">
        <v>6800</v>
      </c>
      <c r="J12" s="5" t="n">
        <v>9320</v>
      </c>
      <c r="K12" s="5" t="n">
        <v>7510</v>
      </c>
      <c r="L12" s="5" t="n">
        <v>6860</v>
      </c>
      <c r="M12" s="5" t="n">
        <v>5900</v>
      </c>
      <c r="N12" s="5" t="n">
        <v>6940</v>
      </c>
      <c r="O12" s="5" t="n">
        <v>4870</v>
      </c>
    </row>
    <row r="13">
      <c r="A13" s="4" t="inlineStr">
        <is>
          <t>Электро</t>
        </is>
      </c>
      <c r="B13" s="4" t="inlineStr">
        <is>
          <t>2–2,5 т</t>
        </is>
      </c>
      <c r="C13" s="5" t="n">
        <v>2500</v>
      </c>
      <c r="D13" s="5" t="n">
        <v>5420</v>
      </c>
      <c r="E13" s="5" t="n">
        <v>5640</v>
      </c>
      <c r="F13" s="5" t="n">
        <v>4870</v>
      </c>
      <c r="G13" s="5" t="n">
        <v>3930</v>
      </c>
      <c r="H13" s="5" t="n">
        <v>5820</v>
      </c>
      <c r="I13" s="5" t="n">
        <v>3610</v>
      </c>
      <c r="J13" s="5" t="n">
        <v>5800</v>
      </c>
      <c r="K13" s="5" t="n">
        <v>4190</v>
      </c>
      <c r="L13" s="5" t="n">
        <v>3490</v>
      </c>
      <c r="M13" s="5" t="n">
        <v>3700</v>
      </c>
      <c r="N13" s="5" t="n">
        <v>3750</v>
      </c>
      <c r="O13" s="5" t="n">
        <v>3350</v>
      </c>
    </row>
    <row r="14">
      <c r="A14" s="4" t="inlineStr">
        <is>
          <t>Электро</t>
        </is>
      </c>
      <c r="B14" s="4" t="inlineStr">
        <is>
          <t>3–3,5 т</t>
        </is>
      </c>
      <c r="C14" s="5" t="n">
        <v>1020</v>
      </c>
      <c r="D14" s="5" t="n">
        <v>2470</v>
      </c>
      <c r="E14" s="5" t="n">
        <v>2500</v>
      </c>
      <c r="F14" s="5" t="n">
        <v>3090</v>
      </c>
      <c r="G14" s="5" t="n">
        <v>2740</v>
      </c>
      <c r="H14" s="5" t="n">
        <v>4060</v>
      </c>
      <c r="I14" s="5" t="n">
        <v>2020</v>
      </c>
      <c r="J14" s="5" t="n">
        <v>3840</v>
      </c>
      <c r="K14" s="5" t="n">
        <v>2100</v>
      </c>
      <c r="L14" s="5" t="n">
        <v>3610</v>
      </c>
      <c r="M14" s="5" t="n">
        <v>3200</v>
      </c>
      <c r="N14" s="5" t="n">
        <v>3940</v>
      </c>
      <c r="O14" s="5" t="n">
        <v>2010</v>
      </c>
    </row>
    <row r="15">
      <c r="A15" s="4" t="inlineStr">
        <is>
          <t>Электро</t>
        </is>
      </c>
      <c r="B15" s="4" t="inlineStr">
        <is>
          <t>3,8–5 т</t>
        </is>
      </c>
      <c r="C15" s="5" t="n">
        <v>150</v>
      </c>
      <c r="D15" s="5" t="n">
        <v>260</v>
      </c>
      <c r="E15" s="5" t="n">
        <v>450</v>
      </c>
      <c r="F15" s="5" t="n">
        <v>460</v>
      </c>
      <c r="G15" s="5" t="n">
        <v>430</v>
      </c>
      <c r="H15" s="5" t="n">
        <v>280</v>
      </c>
      <c r="I15" s="5" t="n">
        <v>400</v>
      </c>
      <c r="J15" s="5" t="n">
        <v>530</v>
      </c>
      <c r="K15" s="5" t="n">
        <v>340</v>
      </c>
      <c r="L15" s="5" t="n">
        <v>430</v>
      </c>
      <c r="M15" s="5" t="n">
        <v>760</v>
      </c>
      <c r="N15" s="5" t="n">
        <v>700</v>
      </c>
      <c r="O15" s="5" t="n">
        <v>470</v>
      </c>
    </row>
    <row r="16">
      <c r="A16" s="4" t="inlineStr">
        <is>
          <t>Электро</t>
        </is>
      </c>
      <c r="B16" s="4" t="inlineStr">
        <is>
          <t>5,5–8 т</t>
        </is>
      </c>
      <c r="C16" s="5" t="n">
        <v>0</v>
      </c>
      <c r="D16" s="5" t="n">
        <v>80</v>
      </c>
      <c r="E16" s="5" t="n">
        <v>0</v>
      </c>
      <c r="F16" s="5" t="n">
        <v>40</v>
      </c>
      <c r="G16" s="5" t="n">
        <v>50</v>
      </c>
      <c r="H16" s="5" t="n">
        <v>40</v>
      </c>
      <c r="I16" s="5" t="n">
        <v>50</v>
      </c>
      <c r="J16" s="5" t="n">
        <v>60</v>
      </c>
      <c r="K16" s="5" t="n">
        <v>10</v>
      </c>
      <c r="L16" s="5" t="n">
        <v>10</v>
      </c>
      <c r="M16" s="5" t="n">
        <v>70</v>
      </c>
      <c r="N16" s="5" t="n">
        <v>30</v>
      </c>
      <c r="O16" s="5" t="n">
        <v>80</v>
      </c>
    </row>
    <row r="17">
      <c r="A17" s="4" t="inlineStr">
        <is>
          <t>Электро</t>
        </is>
      </c>
      <c r="B17" s="4" t="inlineStr">
        <is>
          <t>8,5–16 т</t>
        </is>
      </c>
      <c r="C17" s="5" t="n">
        <v>0</v>
      </c>
      <c r="D17" s="5" t="n">
        <v>20</v>
      </c>
      <c r="E17" s="5" t="n">
        <v>20</v>
      </c>
      <c r="F17" s="5" t="n">
        <v>10</v>
      </c>
      <c r="G17" s="5" t="n">
        <v>0</v>
      </c>
      <c r="H17" s="5" t="n">
        <v>10</v>
      </c>
      <c r="I17" s="5" t="n">
        <v>40</v>
      </c>
      <c r="J17" s="5" t="n">
        <v>120</v>
      </c>
      <c r="K17" s="5" t="n">
        <v>20</v>
      </c>
      <c r="L17" s="5" t="n">
        <v>80</v>
      </c>
      <c r="M17" s="5" t="n">
        <v>20</v>
      </c>
      <c r="N17" s="5" t="n">
        <v>90</v>
      </c>
      <c r="O17" s="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52" customWidth="1" min="3" max="3"/>
    <col width="38" customWidth="1" min="4" max="4"/>
    <col width="25" customWidth="1" min="5" max="5"/>
    <col width="30" customWidth="1" min="6" max="6"/>
    <col width="35" customWidth="1" min="7" max="7"/>
    <col width="21" customWidth="1" min="8" max="8"/>
    <col width="37" customWidth="1" min="9" max="9"/>
    <col width="34" customWidth="1" min="10" max="10"/>
    <col width="40" customWidth="1" min="11" max="11"/>
    <col width="36" customWidth="1" min="12" max="12"/>
    <col width="46" customWidth="1" min="13" max="13"/>
    <col width="43" customWidth="1" min="14" max="14"/>
    <col width="49" customWidth="1" min="15" max="15"/>
    <col width="45" customWidth="1" min="16" max="16"/>
    <col width="36" customWidth="1" min="17" max="17"/>
    <col width="32" customWidth="1" min="18" max="18"/>
    <col width="37" customWidth="1" min="19" max="19"/>
    <col width="36" customWidth="1" min="20" max="20"/>
    <col width="23" customWidth="1" min="21" max="21"/>
    <col width="33" customWidth="1" min="22" max="22"/>
  </cols>
  <sheetData>
    <row r="1">
      <c r="A1" s="1" t="inlineStr">
        <is>
          <t>Квартальные ряды; единицы, источники и ссылки — лист «Источники»</t>
        </is>
      </c>
    </row>
    <row r="3">
      <c r="A3" s="2" t="inlineStr">
        <is>
          <t>квартал</t>
        </is>
      </c>
      <c r="B3" s="2" t="inlineStr">
        <is>
          <t>Курс CNY/RUB, средний</t>
        </is>
      </c>
      <c r="C3" s="2" t="inlineStr">
        <is>
          <t>Задолженность юрлиц по кредитам, на конец квартала</t>
        </is>
      </c>
      <c r="D3" s="2" t="inlineStr">
        <is>
          <t>Задолженность юрлиц по кредитам, г/г</t>
        </is>
      </c>
      <c r="E3" s="2" t="inlineStr">
        <is>
          <t>Выдачи кредитов юрлицам</t>
        </is>
      </c>
      <c r="F3" s="2" t="inlineStr">
        <is>
          <t>Выдачи кредитов юрлицам, г/г</t>
        </is>
      </c>
      <c r="G3" s="2" t="inlineStr">
        <is>
          <t>Импорт товаров (платёжный баланс)</t>
        </is>
      </c>
      <c r="H3" s="2" t="inlineStr">
        <is>
          <t>Импорт товаров, г/г</t>
        </is>
      </c>
      <c r="I3" s="2" t="inlineStr">
        <is>
          <t>Инвестактивность: экономика в целом</t>
        </is>
      </c>
      <c r="J3" s="2" t="inlineStr">
        <is>
          <t>Инвестактивность: промышленность</t>
        </is>
      </c>
      <c r="K3" s="2" t="inlineStr">
        <is>
          <t>Инвестактивность: транспорт и хранение</t>
        </is>
      </c>
      <c r="L3" s="2" t="inlineStr">
        <is>
          <t>Инвестактивность: оптовая торговля</t>
        </is>
      </c>
      <c r="M3" s="2" t="inlineStr">
        <is>
          <t>Ожидания инвестактивности: экономика в целом</t>
        </is>
      </c>
      <c r="N3" s="2" t="inlineStr">
        <is>
          <t>Ожидания инвестактивности: промышленность</t>
        </is>
      </c>
      <c r="O3" s="2" t="inlineStr">
        <is>
          <t>Ожидания инвестактивности: транспорт и хранение</t>
        </is>
      </c>
      <c r="P3" s="2" t="inlineStr">
        <is>
          <t>Ожидания инвестактивности: оптовая торговля</t>
        </is>
      </c>
      <c r="Q3" s="2" t="inlineStr">
        <is>
          <t>Инвестиции в основной капитал, г/г</t>
        </is>
      </c>
      <c r="R3" s="2" t="inlineStr">
        <is>
          <t>Промышленное производство, г/г</t>
        </is>
      </c>
      <c r="S3" s="2" t="inlineStr">
        <is>
          <t>Ключевая ставка, средняя за квартал</t>
        </is>
      </c>
      <c r="T3" s="2" t="inlineStr">
        <is>
          <t>Ключевая ставка, на конец квартала</t>
        </is>
      </c>
      <c r="U3" s="2" t="inlineStr">
        <is>
          <t>Курс USD/RUB, средний</t>
        </is>
      </c>
      <c r="V3" s="2" t="inlineStr">
        <is>
          <t>Курс USD/RUB, на конец квартала</t>
        </is>
      </c>
    </row>
    <row r="4">
      <c r="A4" s="4" t="inlineStr">
        <is>
          <t>2022Q1</t>
        </is>
      </c>
      <c r="B4" s="11" t="n">
        <v>13.7652</v>
      </c>
      <c r="C4" s="11" t="n">
        <v>45149.4</v>
      </c>
      <c r="D4" s="11" t="n">
        <v>19.5</v>
      </c>
      <c r="E4" s="11" t="n">
        <v>17089.2</v>
      </c>
      <c r="F4" s="11" t="n">
        <v>0.89</v>
      </c>
      <c r="G4" s="11" t="n">
        <v>69760.69</v>
      </c>
      <c r="H4" s="11" t="n">
        <v>10.93</v>
      </c>
      <c r="I4" s="11" t="n">
        <v>-4.1414</v>
      </c>
      <c r="J4" s="11" t="n">
        <v>-6.1876</v>
      </c>
      <c r="K4" s="11" t="n">
        <v>0.7289</v>
      </c>
      <c r="L4" s="11" t="n">
        <v>-7.6647</v>
      </c>
      <c r="M4" s="11" t="n">
        <v>-3.198</v>
      </c>
      <c r="N4" s="11" t="n">
        <v>-1.5094</v>
      </c>
      <c r="O4" s="11" t="n">
        <v>1.7016</v>
      </c>
      <c r="P4" s="11" t="n">
        <v>-7.0415</v>
      </c>
      <c r="Q4" s="11" t="n">
        <v>13.8</v>
      </c>
      <c r="R4" s="11" t="n">
        <v>5.1</v>
      </c>
      <c r="S4" s="11" t="n">
        <v>12.744</v>
      </c>
      <c r="T4" s="11" t="n">
        <v>20</v>
      </c>
      <c r="U4" s="11" t="n">
        <v>87.348</v>
      </c>
      <c r="V4" s="11" t="n">
        <v>84.0851</v>
      </c>
    </row>
    <row r="5">
      <c r="A5" s="4" t="inlineStr">
        <is>
          <t>2022Q2</t>
        </is>
      </c>
      <c r="B5" s="11" t="n">
        <v>10.1779</v>
      </c>
      <c r="C5" s="11" t="n">
        <v>43511.7</v>
      </c>
      <c r="D5" s="11" t="n">
        <v>11.23</v>
      </c>
      <c r="E5" s="11" t="n">
        <v>13910</v>
      </c>
      <c r="F5" s="11" t="n">
        <v>-34.27</v>
      </c>
      <c r="G5" s="11" t="n">
        <v>56741.45</v>
      </c>
      <c r="H5" s="11" t="n">
        <v>-24.82</v>
      </c>
      <c r="I5" s="11" t="n">
        <v>-0.4078</v>
      </c>
      <c r="J5" s="11" t="n">
        <v>0.1168</v>
      </c>
      <c r="K5" s="11" t="n">
        <v>0.7503</v>
      </c>
      <c r="L5" s="11" t="n">
        <v>-1.8875</v>
      </c>
      <c r="M5" s="11" t="n">
        <v>2.9246</v>
      </c>
      <c r="N5" s="11" t="n">
        <v>5.4323</v>
      </c>
      <c r="O5" s="11" t="n">
        <v>1.9326</v>
      </c>
      <c r="P5" s="11" t="n">
        <v>0.2308</v>
      </c>
      <c r="Q5" s="11" t="n">
        <v>3.3</v>
      </c>
      <c r="R5" s="11" t="n">
        <v>-1.7</v>
      </c>
      <c r="S5" s="11" t="n">
        <v>13.984</v>
      </c>
      <c r="T5" s="11" t="n">
        <v>9.5</v>
      </c>
      <c r="U5" s="11" t="n">
        <v>66.514</v>
      </c>
      <c r="V5" s="11" t="n">
        <v>51.158</v>
      </c>
    </row>
    <row r="6">
      <c r="A6" s="4" t="inlineStr">
        <is>
          <t>2022Q3</t>
        </is>
      </c>
      <c r="B6" s="11" t="n">
        <v>8.7362</v>
      </c>
      <c r="C6" s="11" t="n">
        <v>46746.5</v>
      </c>
      <c r="D6" s="11" t="n">
        <v>13.83</v>
      </c>
      <c r="E6" s="11" t="n">
        <v>16521</v>
      </c>
      <c r="F6" s="11" t="n">
        <v>-31.13</v>
      </c>
      <c r="G6" s="11" t="n">
        <v>68822.06</v>
      </c>
      <c r="H6" s="11" t="n">
        <v>-11.34</v>
      </c>
      <c r="I6" s="11" t="n">
        <v>0.5155</v>
      </c>
      <c r="J6" s="11" t="n">
        <v>1.8939</v>
      </c>
      <c r="K6" s="11" t="n">
        <v>3.3899</v>
      </c>
      <c r="L6" s="11" t="n">
        <v>-2.2965</v>
      </c>
      <c r="M6" s="11" t="n">
        <v>2.5454</v>
      </c>
      <c r="N6" s="11" t="n">
        <v>5.5123</v>
      </c>
      <c r="O6" s="11" t="n">
        <v>3.0261</v>
      </c>
      <c r="P6" s="11" t="n">
        <v>0.2152</v>
      </c>
      <c r="Q6" s="11" t="n">
        <v>2.3</v>
      </c>
      <c r="R6" s="4" t="n"/>
      <c r="S6" s="11" t="n">
        <v>8.326000000000001</v>
      </c>
      <c r="T6" s="11" t="n">
        <v>7.5</v>
      </c>
      <c r="U6" s="11" t="n">
        <v>59.478</v>
      </c>
      <c r="V6" s="11" t="n">
        <v>57.413</v>
      </c>
    </row>
    <row r="7">
      <c r="A7" s="4" t="inlineStr">
        <is>
          <t>2022Q4</t>
        </is>
      </c>
      <c r="B7" s="11" t="n">
        <v>8.7818</v>
      </c>
      <c r="C7" s="11" t="n">
        <v>50845</v>
      </c>
      <c r="D7" s="11" t="n">
        <v>18.98</v>
      </c>
      <c r="E7" s="11" t="n">
        <v>18366.7</v>
      </c>
      <c r="F7" s="11" t="n">
        <v>-22.04</v>
      </c>
      <c r="G7" s="11" t="n">
        <v>81185.67999999999</v>
      </c>
      <c r="H7" s="11" t="n">
        <v>-4.56</v>
      </c>
      <c r="I7" s="11" t="n">
        <v>4.4001</v>
      </c>
      <c r="J7" s="11" t="n">
        <v>5.5598</v>
      </c>
      <c r="K7" s="11" t="n">
        <v>7.6213</v>
      </c>
      <c r="L7" s="11" t="n">
        <v>1.5979</v>
      </c>
      <c r="M7" s="11" t="n">
        <v>5.0811</v>
      </c>
      <c r="N7" s="11" t="n">
        <v>9.6462</v>
      </c>
      <c r="O7" s="11" t="n">
        <v>4.1181</v>
      </c>
      <c r="P7" s="11" t="n">
        <v>3.1209</v>
      </c>
      <c r="Q7" s="11" t="n">
        <v>3.3</v>
      </c>
      <c r="R7" s="4" t="n"/>
      <c r="S7" s="11" t="n">
        <v>7.5</v>
      </c>
      <c r="T7" s="11" t="n">
        <v>7.5</v>
      </c>
      <c r="U7" s="11" t="n">
        <v>62.694</v>
      </c>
      <c r="V7" s="11" t="n">
        <v>70.33750000000001</v>
      </c>
    </row>
    <row r="8">
      <c r="A8" s="4" t="inlineStr">
        <is>
          <t>2023Q1</t>
        </is>
      </c>
      <c r="B8" s="11" t="n">
        <v>10.6567</v>
      </c>
      <c r="C8" s="11" t="n">
        <v>53380.4</v>
      </c>
      <c r="D8" s="11" t="n">
        <v>18.23</v>
      </c>
      <c r="E8" s="11" t="n">
        <v>15106.1</v>
      </c>
      <c r="F8" s="11" t="n">
        <v>-11.6</v>
      </c>
      <c r="G8" s="11" t="n">
        <v>74617.74000000001</v>
      </c>
      <c r="H8" s="11" t="n">
        <v>6.96</v>
      </c>
      <c r="I8" s="11" t="n">
        <v>7.3076</v>
      </c>
      <c r="J8" s="11" t="n">
        <v>8.0761</v>
      </c>
      <c r="K8" s="11" t="n">
        <v>7.4235</v>
      </c>
      <c r="L8" s="11" t="n">
        <v>4.0162</v>
      </c>
      <c r="M8" s="11" t="n">
        <v>5.6938</v>
      </c>
      <c r="N8" s="11" t="n">
        <v>10.8775</v>
      </c>
      <c r="O8" s="11" t="n">
        <v>6.9131</v>
      </c>
      <c r="P8" s="11" t="n">
        <v>3.4829</v>
      </c>
      <c r="Q8" s="11" t="n">
        <v>1</v>
      </c>
      <c r="R8" s="11" t="n">
        <v>-1.4</v>
      </c>
      <c r="S8" s="11" t="n">
        <v>7.5</v>
      </c>
      <c r="T8" s="11" t="n">
        <v>7.5</v>
      </c>
      <c r="U8" s="11" t="n">
        <v>72.971</v>
      </c>
      <c r="V8" s="11" t="n">
        <v>77.08629999999999</v>
      </c>
    </row>
    <row r="9">
      <c r="A9" s="4" t="inlineStr">
        <is>
          <t>2023Q2</t>
        </is>
      </c>
      <c r="B9" s="11" t="n">
        <v>11.5616</v>
      </c>
      <c r="C9" s="11" t="n">
        <v>56607.9</v>
      </c>
      <c r="D9" s="11" t="n">
        <v>30.1</v>
      </c>
      <c r="E9" s="11" t="n">
        <v>16534.7</v>
      </c>
      <c r="F9" s="11" t="n">
        <v>18.87</v>
      </c>
      <c r="G9" s="11" t="n">
        <v>77155.00999999999</v>
      </c>
      <c r="H9" s="11" t="n">
        <v>35.98</v>
      </c>
      <c r="I9" s="11" t="n">
        <v>8.3032</v>
      </c>
      <c r="J9" s="11" t="n">
        <v>11.3379</v>
      </c>
      <c r="K9" s="11" t="n">
        <v>6.1474</v>
      </c>
      <c r="L9" s="11" t="n">
        <v>3.4574</v>
      </c>
      <c r="M9" s="11" t="n">
        <v>6.4236</v>
      </c>
      <c r="N9" s="11" t="n">
        <v>11.3825</v>
      </c>
      <c r="O9" s="11" t="n">
        <v>6.7473</v>
      </c>
      <c r="P9" s="11" t="n">
        <v>2.9918</v>
      </c>
      <c r="Q9" s="11" t="n">
        <v>13.3</v>
      </c>
      <c r="R9" s="11" t="n">
        <v>5.7</v>
      </c>
      <c r="S9" s="11" t="n">
        <v>7.5</v>
      </c>
      <c r="T9" s="11" t="n">
        <v>7.5</v>
      </c>
      <c r="U9" s="11" t="n">
        <v>81.23999999999999</v>
      </c>
      <c r="V9" s="11" t="n">
        <v>87.0341</v>
      </c>
    </row>
    <row r="10">
      <c r="A10" s="4" t="inlineStr">
        <is>
          <t>2023Q3</t>
        </is>
      </c>
      <c r="B10" s="11" t="n">
        <v>12.9743</v>
      </c>
      <c r="C10" s="11" t="n">
        <v>61810.6</v>
      </c>
      <c r="D10" s="11" t="n">
        <v>32.23</v>
      </c>
      <c r="E10" s="11" t="n">
        <v>20647.1</v>
      </c>
      <c r="F10" s="11" t="n">
        <v>24.97</v>
      </c>
      <c r="G10" s="11" t="n">
        <v>75691.19</v>
      </c>
      <c r="H10" s="11" t="n">
        <v>9.98</v>
      </c>
      <c r="I10" s="11" t="n">
        <v>7.164</v>
      </c>
      <c r="J10" s="11" t="n">
        <v>11.8988</v>
      </c>
      <c r="K10" s="11" t="n">
        <v>6.4973</v>
      </c>
      <c r="L10" s="11" t="n">
        <v>2.4883</v>
      </c>
      <c r="M10" s="11" t="n">
        <v>6.2646</v>
      </c>
      <c r="N10" s="11" t="n">
        <v>11.1137</v>
      </c>
      <c r="O10" s="11" t="n">
        <v>6.4743</v>
      </c>
      <c r="P10" s="11" t="n">
        <v>2.1802</v>
      </c>
      <c r="Q10" s="11" t="n">
        <v>14.5</v>
      </c>
      <c r="R10" s="11" t="n">
        <v>5.4</v>
      </c>
      <c r="S10" s="11" t="n">
        <v>10.179</v>
      </c>
      <c r="T10" s="11" t="n">
        <v>13</v>
      </c>
      <c r="U10" s="11" t="n">
        <v>94.2</v>
      </c>
      <c r="V10" s="11" t="n">
        <v>97.4147</v>
      </c>
    </row>
    <row r="11">
      <c r="A11" s="4" t="inlineStr">
        <is>
          <t>2023Q4</t>
        </is>
      </c>
      <c r="B11" s="11" t="n">
        <v>12.8098</v>
      </c>
      <c r="C11" s="11" t="n">
        <v>64812.2</v>
      </c>
      <c r="D11" s="11" t="n">
        <v>27.47</v>
      </c>
      <c r="E11" s="11" t="n">
        <v>22105.3</v>
      </c>
      <c r="F11" s="11" t="n">
        <v>20.36</v>
      </c>
      <c r="G11" s="11" t="n">
        <v>75622.45</v>
      </c>
      <c r="H11" s="11" t="n">
        <v>-6.85</v>
      </c>
      <c r="I11" s="11" t="n">
        <v>8.9673</v>
      </c>
      <c r="J11" s="11" t="n">
        <v>13.7555</v>
      </c>
      <c r="K11" s="11" t="n">
        <v>9.0395</v>
      </c>
      <c r="L11" s="11" t="n">
        <v>2.7346</v>
      </c>
      <c r="M11" s="11" t="n">
        <v>5.7253</v>
      </c>
      <c r="N11" s="11" t="n">
        <v>9.6906</v>
      </c>
      <c r="O11" s="11" t="n">
        <v>6.443</v>
      </c>
      <c r="P11" s="11" t="n">
        <v>1.4142</v>
      </c>
      <c r="Q11" s="11" t="n">
        <v>8.6</v>
      </c>
      <c r="R11" s="11" t="n">
        <v>4.1</v>
      </c>
      <c r="S11" s="11" t="n">
        <v>14.522</v>
      </c>
      <c r="T11" s="11" t="n">
        <v>16</v>
      </c>
      <c r="U11" s="11" t="n">
        <v>92.753</v>
      </c>
      <c r="V11" s="11" t="n">
        <v>89.6883</v>
      </c>
    </row>
    <row r="12">
      <c r="A12" s="4" t="inlineStr">
        <is>
          <t>2024Q1</t>
        </is>
      </c>
      <c r="B12" s="11" t="n">
        <v>12.5711</v>
      </c>
      <c r="C12" s="11" t="n">
        <v>66958.89999999999</v>
      </c>
      <c r="D12" s="11" t="n">
        <v>25.44</v>
      </c>
      <c r="E12" s="11" t="n">
        <v>18676.3</v>
      </c>
      <c r="F12" s="11" t="n">
        <v>23.63</v>
      </c>
      <c r="G12" s="11" t="n">
        <v>67033.23</v>
      </c>
      <c r="H12" s="11" t="n">
        <v>-10.16</v>
      </c>
      <c r="I12" s="11" t="n">
        <v>9.951499999999999</v>
      </c>
      <c r="J12" s="11" t="n">
        <v>12.4722</v>
      </c>
      <c r="K12" s="11" t="n">
        <v>8.1393</v>
      </c>
      <c r="L12" s="11" t="n">
        <v>5.6273</v>
      </c>
      <c r="M12" s="11" t="n">
        <v>6.7773</v>
      </c>
      <c r="N12" s="11" t="n">
        <v>12.2153</v>
      </c>
      <c r="O12" s="11" t="n">
        <v>6.4337</v>
      </c>
      <c r="P12" s="11" t="n">
        <v>3.7579</v>
      </c>
      <c r="Q12" s="11" t="n">
        <v>14.8</v>
      </c>
      <c r="R12" s="11" t="n">
        <v>5.4</v>
      </c>
      <c r="S12" s="11" t="n">
        <v>16</v>
      </c>
      <c r="T12" s="11" t="n">
        <v>16</v>
      </c>
      <c r="U12" s="11" t="n">
        <v>90.8</v>
      </c>
      <c r="V12" s="11" t="n">
        <v>92.366</v>
      </c>
    </row>
    <row r="13">
      <c r="A13" s="4" t="inlineStr">
        <is>
          <t>2024Q2</t>
        </is>
      </c>
      <c r="B13" s="11" t="n">
        <v>12.4279</v>
      </c>
      <c r="C13" s="11" t="n">
        <v>70078.60000000001</v>
      </c>
      <c r="D13" s="11" t="n">
        <v>23.8</v>
      </c>
      <c r="E13" s="11" t="n">
        <v>21946.8</v>
      </c>
      <c r="F13" s="11" t="n">
        <v>32.73</v>
      </c>
      <c r="G13" s="11" t="n">
        <v>71220.94</v>
      </c>
      <c r="H13" s="11" t="n">
        <v>-7.69</v>
      </c>
      <c r="I13" s="11" t="n">
        <v>7.7381</v>
      </c>
      <c r="J13" s="11" t="n">
        <v>10.5739</v>
      </c>
      <c r="K13" s="11" t="n">
        <v>7.9123</v>
      </c>
      <c r="L13" s="11" t="n">
        <v>6.8304</v>
      </c>
      <c r="M13" s="11" t="n">
        <v>5.5411</v>
      </c>
      <c r="N13" s="11" t="n">
        <v>10.8761</v>
      </c>
      <c r="O13" s="11" t="n">
        <v>6.2411</v>
      </c>
      <c r="P13" s="11" t="n">
        <v>3.0632</v>
      </c>
      <c r="Q13" s="11" t="n">
        <v>8.699999999999999</v>
      </c>
      <c r="R13" s="11" t="n">
        <v>4.2</v>
      </c>
      <c r="S13" s="11" t="n">
        <v>16</v>
      </c>
      <c r="T13" s="11" t="n">
        <v>16</v>
      </c>
      <c r="U13" s="11" t="n">
        <v>90.48</v>
      </c>
      <c r="V13" s="11" t="n">
        <v>85.748</v>
      </c>
    </row>
    <row r="14">
      <c r="A14" s="4" t="inlineStr">
        <is>
          <t>2024Q3</t>
        </is>
      </c>
      <c r="B14" s="11" t="n">
        <v>12.1882</v>
      </c>
      <c r="C14" s="11" t="n">
        <v>74670.89999999999</v>
      </c>
      <c r="D14" s="11" t="n">
        <v>20.81</v>
      </c>
      <c r="E14" s="11" t="n">
        <v>23327.7</v>
      </c>
      <c r="F14" s="11" t="n">
        <v>12.98</v>
      </c>
      <c r="G14" s="11" t="n">
        <v>78614.98</v>
      </c>
      <c r="H14" s="11" t="n">
        <v>3.86</v>
      </c>
      <c r="I14" s="11" t="n">
        <v>5.2071</v>
      </c>
      <c r="J14" s="11" t="n">
        <v>7.5023</v>
      </c>
      <c r="K14" s="11" t="n">
        <v>5.7003</v>
      </c>
      <c r="L14" s="11" t="n">
        <v>2.5742</v>
      </c>
      <c r="M14" s="11" t="n">
        <v>4.861</v>
      </c>
      <c r="N14" s="11" t="n">
        <v>9.881</v>
      </c>
      <c r="O14" s="11" t="n">
        <v>5.1412</v>
      </c>
      <c r="P14" s="11" t="n">
        <v>1.9172</v>
      </c>
      <c r="Q14" s="11" t="n">
        <v>5.7</v>
      </c>
      <c r="R14" s="11" t="n">
        <v>2.9</v>
      </c>
      <c r="S14" s="11" t="n">
        <v>17.554</v>
      </c>
      <c r="T14" s="11" t="n">
        <v>19</v>
      </c>
      <c r="U14" s="11" t="n">
        <v>89.23399999999999</v>
      </c>
      <c r="V14" s="11" t="n">
        <v>92.71259999999999</v>
      </c>
    </row>
    <row r="15">
      <c r="A15" s="4" t="inlineStr">
        <is>
          <t>2024Q4</t>
        </is>
      </c>
      <c r="B15" s="11" t="n">
        <v>13.7595</v>
      </c>
      <c r="C15" s="11" t="n">
        <v>77729.39999999999</v>
      </c>
      <c r="D15" s="11" t="n">
        <v>19.93</v>
      </c>
      <c r="E15" s="11" t="n">
        <v>23770.4</v>
      </c>
      <c r="F15" s="11" t="n">
        <v>7.53</v>
      </c>
      <c r="G15" s="11" t="n">
        <v>84678.96000000001</v>
      </c>
      <c r="H15" s="11" t="n">
        <v>11.98</v>
      </c>
      <c r="I15" s="11" t="n">
        <v>3.6171</v>
      </c>
      <c r="J15" s="11" t="n">
        <v>4.0206</v>
      </c>
      <c r="K15" s="11" t="n">
        <v>5.9138</v>
      </c>
      <c r="L15" s="11" t="n">
        <v>-0.1516</v>
      </c>
      <c r="M15" s="11" t="n">
        <v>3.0979</v>
      </c>
      <c r="N15" s="11" t="n">
        <v>7.1453</v>
      </c>
      <c r="O15" s="11" t="n">
        <v>4.1653</v>
      </c>
      <c r="P15" s="11" t="n">
        <v>-1.9128</v>
      </c>
      <c r="Q15" s="11" t="n">
        <v>4.9</v>
      </c>
      <c r="R15" s="11" t="n">
        <v>5.7</v>
      </c>
      <c r="S15" s="11" t="n">
        <v>20.413</v>
      </c>
      <c r="T15" s="11" t="n">
        <v>21</v>
      </c>
      <c r="U15" s="11" t="n">
        <v>99.61</v>
      </c>
      <c r="V15" s="11" t="n">
        <v>101.6797</v>
      </c>
    </row>
    <row r="16">
      <c r="A16" s="4" t="inlineStr">
        <is>
          <t>2025Q1</t>
        </is>
      </c>
      <c r="B16" s="11" t="n">
        <v>12.6083</v>
      </c>
      <c r="C16" s="11" t="n">
        <v>76215.60000000001</v>
      </c>
      <c r="D16" s="11" t="n">
        <v>13.82</v>
      </c>
      <c r="E16" s="11" t="n">
        <v>16642.2</v>
      </c>
      <c r="F16" s="11" t="n">
        <v>-10.89</v>
      </c>
      <c r="G16" s="11" t="n">
        <v>66720.57000000001</v>
      </c>
      <c r="H16" s="11" t="n">
        <v>-0.47</v>
      </c>
      <c r="I16" s="11" t="n">
        <v>4.0093</v>
      </c>
      <c r="J16" s="11" t="n">
        <v>3.2201</v>
      </c>
      <c r="K16" s="11" t="n">
        <v>1.2179</v>
      </c>
      <c r="L16" s="11" t="n">
        <v>-0.1171</v>
      </c>
      <c r="M16" s="11" t="n">
        <v>3.433</v>
      </c>
      <c r="N16" s="11" t="n">
        <v>7.3597</v>
      </c>
      <c r="O16" s="11" t="n">
        <v>3.6632</v>
      </c>
      <c r="P16" s="11" t="n">
        <v>-1.6717</v>
      </c>
      <c r="Q16" s="11" t="n">
        <v>6.5</v>
      </c>
      <c r="R16" s="11" t="n">
        <v>0.1</v>
      </c>
      <c r="S16" s="11" t="n">
        <v>21</v>
      </c>
      <c r="T16" s="11" t="n">
        <v>21</v>
      </c>
      <c r="U16" s="11" t="n">
        <v>92.42</v>
      </c>
      <c r="V16" s="11" t="n">
        <v>83.68129999999999</v>
      </c>
    </row>
    <row r="17">
      <c r="A17" s="4" t="inlineStr">
        <is>
          <t>2025Q2</t>
        </is>
      </c>
      <c r="B17" s="11" t="n">
        <v>11.1567</v>
      </c>
      <c r="C17" s="11" t="n">
        <v>77783.5</v>
      </c>
      <c r="D17" s="11" t="n">
        <v>10.99</v>
      </c>
      <c r="E17" s="11" t="n">
        <v>19155.9</v>
      </c>
      <c r="F17" s="11" t="n">
        <v>-12.72</v>
      </c>
      <c r="G17" s="11" t="n">
        <v>75074.53999999999</v>
      </c>
      <c r="H17" s="11" t="n">
        <v>5.41</v>
      </c>
      <c r="I17" s="11" t="n">
        <v>3.4362</v>
      </c>
      <c r="J17" s="11" t="n">
        <v>3.621</v>
      </c>
      <c r="K17" s="11" t="n">
        <v>4.6797</v>
      </c>
      <c r="L17" s="11" t="n">
        <v>-0.4587</v>
      </c>
      <c r="M17" s="11" t="n">
        <v>3.3584</v>
      </c>
      <c r="N17" s="11" t="n">
        <v>5.4952</v>
      </c>
      <c r="O17" s="11" t="n">
        <v>2.9077</v>
      </c>
      <c r="P17" s="11" t="n">
        <v>0.0644</v>
      </c>
      <c r="Q17" s="11" t="n">
        <v>-1</v>
      </c>
      <c r="R17" s="11" t="n">
        <v>1.5</v>
      </c>
      <c r="S17" s="11" t="n">
        <v>20.758</v>
      </c>
      <c r="T17" s="11" t="n">
        <v>20</v>
      </c>
      <c r="U17" s="11" t="n">
        <v>80.937</v>
      </c>
      <c r="V17" s="11" t="n">
        <v>78.46850000000001</v>
      </c>
    </row>
    <row r="18">
      <c r="A18" s="4" t="inlineStr">
        <is>
          <t>2025Q3</t>
        </is>
      </c>
      <c r="B18" s="11" t="n">
        <v>11.2263</v>
      </c>
      <c r="C18" s="11" t="n">
        <v>80744.39999999999</v>
      </c>
      <c r="D18" s="11" t="n">
        <v>8.130000000000001</v>
      </c>
      <c r="E18" s="11" t="n">
        <v>23255.3</v>
      </c>
      <c r="F18" s="11" t="n">
        <v>-0.31</v>
      </c>
      <c r="G18" s="11" t="n">
        <v>76440.02</v>
      </c>
      <c r="H18" s="11" t="n">
        <v>-2.77</v>
      </c>
      <c r="I18" s="11" t="n">
        <v>1.9074</v>
      </c>
      <c r="J18" s="11" t="n">
        <v>0.7289</v>
      </c>
      <c r="K18" s="11" t="n">
        <v>3.5435</v>
      </c>
      <c r="L18" s="11" t="n">
        <v>0.0631</v>
      </c>
      <c r="M18" s="11" t="n">
        <v>2.8179</v>
      </c>
      <c r="N18" s="11" t="n">
        <v>4.5326</v>
      </c>
      <c r="O18" s="11" t="n">
        <v>2.4048</v>
      </c>
      <c r="P18" s="11" t="n">
        <v>-0.2651</v>
      </c>
      <c r="Q18" s="11" t="n">
        <v>-4.3</v>
      </c>
      <c r="R18" s="11" t="n">
        <v>1.2</v>
      </c>
      <c r="S18" s="11" t="n">
        <v>18.413</v>
      </c>
      <c r="T18" s="11" t="n">
        <v>17</v>
      </c>
      <c r="U18" s="11" t="n">
        <v>80.56</v>
      </c>
      <c r="V18" s="11" t="n">
        <v>82.8676</v>
      </c>
    </row>
    <row r="19">
      <c r="A19" s="4" t="inlineStr">
        <is>
          <t>2025Q4</t>
        </is>
      </c>
      <c r="B19" s="11" t="n">
        <v>11.2215</v>
      </c>
      <c r="C19" s="11" t="n">
        <v>84950.8</v>
      </c>
      <c r="D19" s="11" t="n">
        <v>9.289999999999999</v>
      </c>
      <c r="E19" s="11" t="n">
        <v>25929.1</v>
      </c>
      <c r="F19" s="11" t="n">
        <v>9.08</v>
      </c>
      <c r="G19" s="11" t="n">
        <v>88119.25</v>
      </c>
      <c r="H19" s="11" t="n">
        <v>4.06</v>
      </c>
      <c r="I19" s="11" t="n">
        <v>3.1812</v>
      </c>
      <c r="J19" s="11" t="n">
        <v>2.7966</v>
      </c>
      <c r="K19" s="11" t="n">
        <v>5.0997</v>
      </c>
      <c r="L19" s="11" t="n">
        <v>0.664</v>
      </c>
      <c r="M19" s="11" t="n">
        <v>1.9222</v>
      </c>
      <c r="N19" s="11" t="n">
        <v>3.9656</v>
      </c>
      <c r="O19" s="11" t="n">
        <v>2.0889</v>
      </c>
      <c r="P19" s="11" t="n">
        <v>-3.2297</v>
      </c>
      <c r="Q19" s="11" t="n">
        <v>-5.3</v>
      </c>
      <c r="R19" s="11" t="n">
        <v>2.3</v>
      </c>
      <c r="S19" s="11" t="n">
        <v>16.587</v>
      </c>
      <c r="T19" s="11" t="n">
        <v>16</v>
      </c>
      <c r="U19" s="11" t="n">
        <v>79.89100000000001</v>
      </c>
      <c r="V19" s="11" t="n">
        <v>78.22669999999999</v>
      </c>
    </row>
    <row r="20">
      <c r="A20" s="4" t="inlineStr">
        <is>
          <t>2026Q1</t>
        </is>
      </c>
      <c r="B20" s="11" t="n">
        <v>11.3094</v>
      </c>
      <c r="C20" s="11" t="n">
        <v>84562.3</v>
      </c>
      <c r="D20" s="11" t="n">
        <v>10.95</v>
      </c>
      <c r="E20" s="11" t="n">
        <v>18333.4</v>
      </c>
      <c r="F20" s="11" t="n">
        <v>10.16</v>
      </c>
      <c r="G20" s="11" t="n">
        <v>73596.74000000001</v>
      </c>
      <c r="H20" s="11" t="n">
        <v>10.31</v>
      </c>
      <c r="I20" s="11" t="n">
        <v>-3.3176</v>
      </c>
      <c r="J20" s="11" t="n">
        <v>-9.089</v>
      </c>
      <c r="K20" s="11" t="n">
        <v>0.3862</v>
      </c>
      <c r="L20" s="11" t="n">
        <v>-4.3647</v>
      </c>
      <c r="M20" s="11" t="n">
        <v>1.1943</v>
      </c>
      <c r="N20" s="11" t="n">
        <v>1.9186</v>
      </c>
      <c r="O20" s="11" t="n">
        <v>2.0896</v>
      </c>
      <c r="P20" s="11" t="n">
        <v>-2.095</v>
      </c>
      <c r="Q20" s="11" t="n">
        <v>-14.3</v>
      </c>
      <c r="R20" s="11" t="n">
        <v>0.3</v>
      </c>
      <c r="S20" s="11" t="n">
        <v>15.706</v>
      </c>
      <c r="T20" s="11" t="n">
        <v>15</v>
      </c>
      <c r="U20" s="11" t="n">
        <v>78.33199999999999</v>
      </c>
      <c r="V20" s="11" t="n">
        <v>81.2955</v>
      </c>
    </row>
    <row r="21">
      <c r="A21" s="4" t="inlineStr">
        <is>
          <t>2026Q2</t>
        </is>
      </c>
      <c r="B21" s="11" t="n">
        <v>10.9345</v>
      </c>
      <c r="C21" s="11" t="n">
        <v>86839.39999999999</v>
      </c>
      <c r="D21" s="11" t="n">
        <v>11.64</v>
      </c>
      <c r="E21" s="11" t="n">
        <v>21245.6</v>
      </c>
      <c r="F21" s="11" t="n">
        <v>10.91</v>
      </c>
      <c r="G21" s="4" t="n"/>
      <c r="H21" s="4" t="n"/>
      <c r="I21" s="11" t="n">
        <v>0.4628</v>
      </c>
      <c r="J21" s="11" t="n">
        <v>0.2881</v>
      </c>
      <c r="K21" s="11" t="n">
        <v>1.3143</v>
      </c>
      <c r="L21" s="11" t="n">
        <v>-6.5014</v>
      </c>
      <c r="M21" s="11" t="n">
        <v>-0.3919</v>
      </c>
      <c r="N21" s="11" t="n">
        <v>1.8601</v>
      </c>
      <c r="O21" s="11" t="n">
        <v>1.7702</v>
      </c>
      <c r="P21" s="11" t="n">
        <v>-3.8647</v>
      </c>
      <c r="Q21" s="11" t="n">
        <v>-6.6</v>
      </c>
      <c r="R21" s="11" t="n">
        <v>0.6</v>
      </c>
      <c r="S21" s="11" t="n">
        <v>14.618</v>
      </c>
      <c r="T21" s="11" t="n">
        <v>14.25</v>
      </c>
      <c r="U21" s="11" t="n">
        <v>74.50700000000001</v>
      </c>
      <c r="V21" s="11" t="n">
        <v>77.7539</v>
      </c>
    </row>
    <row r="22">
      <c r="A22" s="4" t="inlineStr">
        <is>
          <t>2026Q3</t>
        </is>
      </c>
      <c r="B22" s="11" t="n">
        <v>12.1474</v>
      </c>
      <c r="C22" s="4" t="n"/>
      <c r="D22" s="11" t="n">
        <v>7.55</v>
      </c>
      <c r="E22" s="4" t="n"/>
      <c r="F22" s="11" t="n">
        <v>-8.640000000000001</v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11" t="n">
        <v>14.071</v>
      </c>
      <c r="T22" s="11" t="n">
        <v>14</v>
      </c>
      <c r="U22" s="11" t="n">
        <v>81.86</v>
      </c>
      <c r="V22" s="11" t="n">
        <v>84.9057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13" customWidth="1" min="3" max="3"/>
    <col width="18" customWidth="1" min="4" max="4"/>
    <col width="80" customWidth="1" min="5" max="5"/>
    <col width="15" customWidth="1" min="6" max="6"/>
  </cols>
  <sheetData>
    <row r="1">
      <c r="A1" s="2" t="inlineStr">
        <is>
          <t>показатель</t>
        </is>
      </c>
      <c r="B1" s="2" t="inlineStr">
        <is>
          <t>единица</t>
        </is>
      </c>
      <c r="C1" s="2" t="inlineStr">
        <is>
          <t>источник</t>
        </is>
      </c>
      <c r="D1" s="2" t="inlineStr">
        <is>
          <t>где опубликовано</t>
        </is>
      </c>
      <c r="E1" s="2" t="inlineStr">
        <is>
          <t>ссылка</t>
        </is>
      </c>
      <c r="F1" s="2" t="inlineStr">
        <is>
          <t>дата выгрузки</t>
        </is>
      </c>
    </row>
    <row r="2">
      <c r="A2" s="4" t="inlineStr">
        <is>
          <t>Курс CNY/RUB, средний</t>
        </is>
      </c>
      <c r="B2" s="4" t="inlineStr">
        <is>
          <t>руб./юань</t>
        </is>
      </c>
      <c r="C2" s="4" t="inlineStr">
        <is>
          <t>Банк России</t>
        </is>
      </c>
      <c r="D2" s="4" t="inlineStr">
        <is>
          <t>Банк России</t>
        </is>
      </c>
      <c r="E2" s="4" t="inlineStr">
        <is>
          <t>https://www.cbr.ru/scripts/XML_dynamic.asp?VAL_NM_RQ=R01375</t>
        </is>
      </c>
      <c r="F2" s="4" t="inlineStr">
        <is>
          <t>2026-10-02</t>
        </is>
      </c>
    </row>
    <row r="3">
      <c r="A3" s="4" t="inlineStr">
        <is>
          <t>Задолженность юрлиц по кредитам, на конец квартала</t>
        </is>
      </c>
      <c r="B3" s="4" t="inlineStr">
        <is>
          <t>млрд руб.</t>
        </is>
      </c>
      <c r="C3" s="4" t="inlineStr">
        <is>
          <t>Банк России</t>
        </is>
      </c>
      <c r="D3" s="4" t="inlineStr">
        <is>
          <t>Банк России</t>
        </is>
      </c>
      <c r="E3" s="4" t="inlineStr">
        <is>
          <t>https://www.cbr.ru/dataservice/ (publicationId=22, datasetId=49/50, РФ, всего)</t>
        </is>
      </c>
      <c r="F3" s="4" t="inlineStr">
        <is>
          <t>2026-09-25</t>
        </is>
      </c>
    </row>
    <row r="4">
      <c r="A4" s="4" t="inlineStr">
        <is>
          <t>Задолженность юрлиц по кредитам, г/г</t>
        </is>
      </c>
      <c r="B4" s="4" t="inlineStr">
        <is>
          <t>% г/г, номинал</t>
        </is>
      </c>
      <c r="C4" s="4" t="inlineStr">
        <is>
          <t>Банк России</t>
        </is>
      </c>
      <c r="D4" s="4" t="inlineStr">
        <is>
          <t>Банк России</t>
        </is>
      </c>
      <c r="E4" s="4" t="inlineStr">
        <is>
          <t>https://www.cbr.ru/dataservice/ (publicationId=22, datasetId=49/50, РФ, всего)</t>
        </is>
      </c>
      <c r="F4" s="4" t="inlineStr">
        <is>
          <t>2026-09-25</t>
        </is>
      </c>
    </row>
    <row r="5">
      <c r="A5" s="4" t="inlineStr">
        <is>
          <t>Выдачи кредитов юрлицам</t>
        </is>
      </c>
      <c r="B5" s="4" t="inlineStr">
        <is>
          <t>млрд руб.</t>
        </is>
      </c>
      <c r="C5" s="4" t="inlineStr">
        <is>
          <t>Банк России</t>
        </is>
      </c>
      <c r="D5" s="4" t="inlineStr">
        <is>
          <t>Банк России</t>
        </is>
      </c>
      <c r="E5" s="4" t="inlineStr">
        <is>
          <t>https://www.cbr.ru/dataservice/ (publicationId=22, datasetId=49/50, РФ, всего)</t>
        </is>
      </c>
      <c r="F5" s="4" t="inlineStr">
        <is>
          <t>2026-09-25</t>
        </is>
      </c>
    </row>
    <row r="6">
      <c r="A6" s="4" t="inlineStr">
        <is>
          <t>Выдачи кредитов юрлицам, г/г</t>
        </is>
      </c>
      <c r="B6" s="4" t="inlineStr">
        <is>
          <t>% г/г, номинал</t>
        </is>
      </c>
      <c r="C6" s="4" t="inlineStr">
        <is>
          <t>Банк России</t>
        </is>
      </c>
      <c r="D6" s="4" t="inlineStr">
        <is>
          <t>Банк России</t>
        </is>
      </c>
      <c r="E6" s="4" t="inlineStr">
        <is>
          <t>https://www.cbr.ru/dataservice/ (publicationId=22, datasetId=49/50, РФ, всего)</t>
        </is>
      </c>
      <c r="F6" s="4" t="inlineStr">
        <is>
          <t>2026-09-25</t>
        </is>
      </c>
    </row>
    <row r="7">
      <c r="A7" s="4" t="inlineStr">
        <is>
          <t>Импорт товаров (платёжный баланс)</t>
        </is>
      </c>
      <c r="B7" s="4" t="inlineStr">
        <is>
          <t>млн долл.</t>
        </is>
      </c>
      <c r="C7" s="4" t="inlineStr">
        <is>
          <t>Банк России</t>
        </is>
      </c>
      <c r="D7" s="4" t="inlineStr">
        <is>
          <t>Банк России</t>
        </is>
      </c>
      <c r="E7" s="4" t="inlineStr">
        <is>
          <t>https://www.cbr.ru/dataservice/ (publicationId=9, datasetId=13)</t>
        </is>
      </c>
      <c r="F7" s="4" t="inlineStr">
        <is>
          <t>2026-09-25</t>
        </is>
      </c>
    </row>
    <row r="8">
      <c r="A8" s="4" t="inlineStr">
        <is>
          <t>Импорт товаров, г/г</t>
        </is>
      </c>
      <c r="B8" s="4" t="inlineStr">
        <is>
          <t>% г/г, в долл.</t>
        </is>
      </c>
      <c r="C8" s="4" t="inlineStr">
        <is>
          <t>Банк России</t>
        </is>
      </c>
      <c r="D8" s="4" t="inlineStr">
        <is>
          <t>Банк России</t>
        </is>
      </c>
      <c r="E8" s="4" t="inlineStr">
        <is>
          <t>https://www.cbr.ru/dataservice/ (publicationId=9, datasetId=13)</t>
        </is>
      </c>
      <c r="F8" s="4" t="inlineStr">
        <is>
          <t>2026-09-25</t>
        </is>
      </c>
    </row>
    <row r="9">
      <c r="A9" s="4" t="inlineStr">
        <is>
          <t>Инвестактивность: экономика в целом</t>
        </is>
      </c>
      <c r="B9" s="4" t="inlineStr">
        <is>
          <t>пункты (баланс ответов, SA)</t>
        </is>
      </c>
      <c r="C9" s="4" t="inlineStr">
        <is>
          <t>Банк России</t>
        </is>
      </c>
      <c r="D9" s="4" t="inlineStr">
        <is>
          <t>Банк России</t>
        </is>
      </c>
      <c r="E9" s="4" t="inlineStr">
        <is>
          <t>https://www.cbr.ru/dataservice/ (publicationId=25, datasetId=76/77, сезонно скорр.)</t>
        </is>
      </c>
      <c r="F9" s="4" t="inlineStr">
        <is>
          <t>2026-09-25</t>
        </is>
      </c>
    </row>
    <row r="10">
      <c r="A10" s="4" t="inlineStr">
        <is>
          <t>Инвестактивность: промышленность</t>
        </is>
      </c>
      <c r="B10" s="4" t="inlineStr">
        <is>
          <t>пункты (баланс ответов, SA)</t>
        </is>
      </c>
      <c r="C10" s="4" t="inlineStr">
        <is>
          <t>Банк России</t>
        </is>
      </c>
      <c r="D10" s="4" t="inlineStr">
        <is>
          <t>Банк России</t>
        </is>
      </c>
      <c r="E10" s="4" t="inlineStr">
        <is>
          <t>https://www.cbr.ru/dataservice/ (publicationId=25, datasetId=76/77, сезонно скорр.)</t>
        </is>
      </c>
      <c r="F10" s="4" t="inlineStr">
        <is>
          <t>2026-09-25</t>
        </is>
      </c>
    </row>
    <row r="11">
      <c r="A11" s="4" t="inlineStr">
        <is>
          <t>Инвестактивность: транспорт и хранение</t>
        </is>
      </c>
      <c r="B11" s="4" t="inlineStr">
        <is>
          <t>пункты (баланс ответов, SA)</t>
        </is>
      </c>
      <c r="C11" s="4" t="inlineStr">
        <is>
          <t>Банк России</t>
        </is>
      </c>
      <c r="D11" s="4" t="inlineStr">
        <is>
          <t>Банк России</t>
        </is>
      </c>
      <c r="E11" s="4" t="inlineStr">
        <is>
          <t>https://www.cbr.ru/dataservice/ (publicationId=25, datasetId=76/77, сезонно скорр.)</t>
        </is>
      </c>
      <c r="F11" s="4" t="inlineStr">
        <is>
          <t>2026-09-25</t>
        </is>
      </c>
    </row>
    <row r="12">
      <c r="A12" s="4" t="inlineStr">
        <is>
          <t>Инвестактивность: оптовая торговля</t>
        </is>
      </c>
      <c r="B12" s="4" t="inlineStr">
        <is>
          <t>пункты (баланс ответов, SA)</t>
        </is>
      </c>
      <c r="C12" s="4" t="inlineStr">
        <is>
          <t>Банк России</t>
        </is>
      </c>
      <c r="D12" s="4" t="inlineStr">
        <is>
          <t>Банк России</t>
        </is>
      </c>
      <c r="E12" s="4" t="inlineStr">
        <is>
          <t>https://www.cbr.ru/dataservice/ (publicationId=25, datasetId=76/77, сезонно скорр.)</t>
        </is>
      </c>
      <c r="F12" s="4" t="inlineStr">
        <is>
          <t>2026-09-25</t>
        </is>
      </c>
    </row>
    <row r="13">
      <c r="A13" s="4" t="inlineStr">
        <is>
          <t>Ожидания инвестактивности: экономика в целом</t>
        </is>
      </c>
      <c r="B13" s="4" t="inlineStr">
        <is>
          <t>пункты (баланс ответов, SA)</t>
        </is>
      </c>
      <c r="C13" s="4" t="inlineStr">
        <is>
          <t>Банк России</t>
        </is>
      </c>
      <c r="D13" s="4" t="inlineStr">
        <is>
          <t>Банк России</t>
        </is>
      </c>
      <c r="E13" s="4" t="inlineStr">
        <is>
          <t>https://www.cbr.ru/dataservice/ (publicationId=25, datasetId=76/77, сезонно скорр.)</t>
        </is>
      </c>
      <c r="F13" s="4" t="inlineStr">
        <is>
          <t>2026-09-25</t>
        </is>
      </c>
    </row>
    <row r="14">
      <c r="A14" s="4" t="inlineStr">
        <is>
          <t>Ожидания инвестактивности: промышленность</t>
        </is>
      </c>
      <c r="B14" s="4" t="inlineStr">
        <is>
          <t>пункты (баланс ответов, SA)</t>
        </is>
      </c>
      <c r="C14" s="4" t="inlineStr">
        <is>
          <t>Банк России</t>
        </is>
      </c>
      <c r="D14" s="4" t="inlineStr">
        <is>
          <t>Банк России</t>
        </is>
      </c>
      <c r="E14" s="4" t="inlineStr">
        <is>
          <t>https://www.cbr.ru/dataservice/ (publicationId=25, datasetId=76/77, сезонно скорр.)</t>
        </is>
      </c>
      <c r="F14" s="4" t="inlineStr">
        <is>
          <t>2026-09-25</t>
        </is>
      </c>
    </row>
    <row r="15">
      <c r="A15" s="4" t="inlineStr">
        <is>
          <t>Ожидания инвестактивности: транспорт и хранение</t>
        </is>
      </c>
      <c r="B15" s="4" t="inlineStr">
        <is>
          <t>пункты (баланс ответов, SA)</t>
        </is>
      </c>
      <c r="C15" s="4" t="inlineStr">
        <is>
          <t>Банк России</t>
        </is>
      </c>
      <c r="D15" s="4" t="inlineStr">
        <is>
          <t>Банк России</t>
        </is>
      </c>
      <c r="E15" s="4" t="inlineStr">
        <is>
          <t>https://www.cbr.ru/dataservice/ (publicationId=25, datasetId=76/77, сезонно скорр.)</t>
        </is>
      </c>
      <c r="F15" s="4" t="inlineStr">
        <is>
          <t>2026-09-25</t>
        </is>
      </c>
    </row>
    <row r="16">
      <c r="A16" s="4" t="inlineStr">
        <is>
          <t>Ожидания инвестактивности: оптовая торговля</t>
        </is>
      </c>
      <c r="B16" s="4" t="inlineStr">
        <is>
          <t>пункты (баланс ответов, SA)</t>
        </is>
      </c>
      <c r="C16" s="4" t="inlineStr">
        <is>
          <t>Банк России</t>
        </is>
      </c>
      <c r="D16" s="4" t="inlineStr">
        <is>
          <t>Банк России</t>
        </is>
      </c>
      <c r="E16" s="4" t="inlineStr">
        <is>
          <t>https://www.cbr.ru/dataservice/ (publicationId=25, datasetId=76/77, сезонно скорр.)</t>
        </is>
      </c>
      <c r="F16" s="4" t="inlineStr">
        <is>
          <t>2026-09-25</t>
        </is>
      </c>
    </row>
    <row r="17">
      <c r="A17" s="4" t="inlineStr">
        <is>
          <t>Инвестиции в основной капитал, г/г</t>
        </is>
      </c>
      <c r="B17" s="4" t="inlineStr">
        <is>
          <t>% г/г, реал.</t>
        </is>
      </c>
      <c r="C17" s="4" t="inlineStr">
        <is>
          <t>Росстат</t>
        </is>
      </c>
      <c r="D17" s="4" t="inlineStr">
        <is>
          <t>Интерфакс</t>
        </is>
      </c>
      <c r="E17" s="4" t="inlineStr">
        <is>
          <t>https://www.interfax.ru/business/890544</t>
        </is>
      </c>
      <c r="F17" s="4" t="inlineStr">
        <is>
          <t>2026-09-25</t>
        </is>
      </c>
    </row>
    <row r="18">
      <c r="A18" s="4" t="inlineStr">
        <is>
          <t>Промышленное производство, г/г</t>
        </is>
      </c>
      <c r="B18" s="4" t="inlineStr">
        <is>
          <t>% г/г</t>
        </is>
      </c>
      <c r="C18" s="4" t="inlineStr">
        <is>
          <t>Росстат</t>
        </is>
      </c>
      <c r="D18" s="4" t="inlineStr">
        <is>
          <t>РБК</t>
        </is>
      </c>
      <c r="E18" s="4" t="inlineStr">
        <is>
          <t>https://www.rbc.ru/economics/01/02/2023/63da7d2b9a794701d1748abf</t>
        </is>
      </c>
      <c r="F18" s="4" t="inlineStr">
        <is>
          <t>2026-09-25</t>
        </is>
      </c>
    </row>
    <row r="19">
      <c r="A19" s="4" t="inlineStr">
        <is>
          <t>Ключевая ставка, средняя за квартал</t>
        </is>
      </c>
      <c r="B19" s="4" t="inlineStr">
        <is>
          <t>% годовых</t>
        </is>
      </c>
      <c r="C19" s="4" t="inlineStr">
        <is>
          <t>Банк России</t>
        </is>
      </c>
      <c r="D19" s="4" t="inlineStr">
        <is>
          <t>Банк России</t>
        </is>
      </c>
      <c r="E19" s="4" t="inlineStr">
        <is>
          <t>https://www.cbr.ru/hd_base/KeyRate/</t>
        </is>
      </c>
      <c r="F19" s="4" t="inlineStr">
        <is>
          <t>2026-09-25</t>
        </is>
      </c>
    </row>
    <row r="20">
      <c r="A20" s="4" t="inlineStr">
        <is>
          <t>Ключевая ставка, на конец квартала</t>
        </is>
      </c>
      <c r="B20" s="4" t="inlineStr">
        <is>
          <t>% годовых</t>
        </is>
      </c>
      <c r="C20" s="4" t="inlineStr">
        <is>
          <t>Банк России</t>
        </is>
      </c>
      <c r="D20" s="4" t="inlineStr">
        <is>
          <t>Банк России</t>
        </is>
      </c>
      <c r="E20" s="4" t="inlineStr">
        <is>
          <t>https://www.cbr.ru/hd_base/KeyRate/</t>
        </is>
      </c>
      <c r="F20" s="4" t="inlineStr">
        <is>
          <t>2026-09-25</t>
        </is>
      </c>
    </row>
    <row r="21">
      <c r="A21" s="4" t="inlineStr">
        <is>
          <t>Курс USD/RUB, средний</t>
        </is>
      </c>
      <c r="B21" s="4" t="inlineStr">
        <is>
          <t>руб./долл.</t>
        </is>
      </c>
      <c r="C21" s="4" t="inlineStr">
        <is>
          <t>Банк России</t>
        </is>
      </c>
      <c r="D21" s="4" t="inlineStr">
        <is>
          <t>Банк России</t>
        </is>
      </c>
      <c r="E21" s="4" t="inlineStr">
        <is>
          <t>https://www.cbr.ru/scripts/XML_dynamic.asp?VAL_NM_RQ=R01235</t>
        </is>
      </c>
      <c r="F21" s="4" t="inlineStr">
        <is>
          <t>2026-09-25</t>
        </is>
      </c>
    </row>
    <row r="22">
      <c r="A22" s="4" t="inlineStr">
        <is>
          <t>Курс USD/RUB, на конец квартала</t>
        </is>
      </c>
      <c r="B22" s="4" t="inlineStr">
        <is>
          <t>руб./долл.</t>
        </is>
      </c>
      <c r="C22" s="4" t="inlineStr">
        <is>
          <t>Банк России</t>
        </is>
      </c>
      <c r="D22" s="4" t="inlineStr">
        <is>
          <t>Банк России</t>
        </is>
      </c>
      <c r="E22" s="4" t="inlineStr">
        <is>
          <t>https://www.cbr.ru/scripts/XML_dynamic.asp?VAL_NM_RQ=R01235</t>
        </is>
      </c>
      <c r="F22" s="4" t="inlineStr">
        <is>
          <t>2026-09-25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Средняя |log(факт/прогноз)| при скользящей проверке на истории по горизонту прогноза (≈ ошибка в %)</t>
        </is>
      </c>
    </row>
    <row r="3">
      <c r="A3" s="2" t="inlineStr">
        <is>
          <t>модель</t>
        </is>
      </c>
      <c r="B3" s="2" t="inlineStr">
        <is>
          <t>горизонт, кв.</t>
        </is>
      </c>
      <c r="C3" s="2" t="inlineStr">
        <is>
          <t>ДВС</t>
        </is>
      </c>
      <c r="D3" s="2" t="inlineStr">
        <is>
          <t>Рынок</t>
        </is>
      </c>
      <c r="E3" s="2" t="inlineStr">
        <is>
          <t>Электро</t>
        </is>
      </c>
    </row>
    <row r="4">
      <c r="A4" s="4" t="inlineStr">
        <is>
          <t>ARX-ставка</t>
        </is>
      </c>
      <c r="B4" s="4" t="n">
        <v>1</v>
      </c>
      <c r="C4" s="12" t="n">
        <v>0.3865379344499129</v>
      </c>
      <c r="D4" s="12" t="n">
        <v>0.2244318375617784</v>
      </c>
      <c r="E4" s="12" t="n">
        <v>0.1725301932815787</v>
      </c>
    </row>
    <row r="5">
      <c r="A5" s="4" t="inlineStr">
        <is>
          <t>ARX-ставка</t>
        </is>
      </c>
      <c r="B5" s="4" t="n">
        <v>2</v>
      </c>
      <c r="C5" s="12" t="n">
        <v>0.5994586546861472</v>
      </c>
      <c r="D5" s="12" t="n">
        <v>0.3321373940752271</v>
      </c>
      <c r="E5" s="12" t="n">
        <v>0.1995594000055697</v>
      </c>
    </row>
    <row r="6">
      <c r="A6" s="4" t="inlineStr">
        <is>
          <t>ARX-ставка</t>
        </is>
      </c>
      <c r="B6" s="4" t="n">
        <v>3</v>
      </c>
      <c r="C6" s="12" t="n">
        <v>0.5792976941894555</v>
      </c>
      <c r="D6" s="12" t="n">
        <v>0.319699721618925</v>
      </c>
      <c r="E6" s="12" t="n">
        <v>0.1866619741844221</v>
      </c>
    </row>
    <row r="7">
      <c r="A7" s="4" t="inlineStr">
        <is>
          <t>ARX-ставка</t>
        </is>
      </c>
      <c r="B7" s="4" t="n">
        <v>4</v>
      </c>
      <c r="C7" s="12" t="n">
        <v>0.6597228350007831</v>
      </c>
      <c r="D7" s="12" t="n">
        <v>0.3402585434395849</v>
      </c>
      <c r="E7" s="12" t="n">
        <v>0.1740604781300779</v>
      </c>
    </row>
    <row r="8">
      <c r="A8" s="4" t="inlineStr">
        <is>
          <t>ETS</t>
        </is>
      </c>
      <c r="B8" s="4" t="n">
        <v>1</v>
      </c>
      <c r="C8" s="12" t="n">
        <v>0.3406112193247998</v>
      </c>
      <c r="D8" s="12" t="n">
        <v>0.2080890502555181</v>
      </c>
      <c r="E8" s="12" t="n">
        <v>0.1928188094487338</v>
      </c>
    </row>
    <row r="9">
      <c r="A9" s="4" t="inlineStr">
        <is>
          <t>ETS</t>
        </is>
      </c>
      <c r="B9" s="4" t="n">
        <v>2</v>
      </c>
      <c r="C9" s="12" t="n">
        <v>0.5739067200619054</v>
      </c>
      <c r="D9" s="12" t="n">
        <v>0.3524888261490406</v>
      </c>
      <c r="E9" s="12" t="n">
        <v>0.2360399230005246</v>
      </c>
    </row>
    <row r="10">
      <c r="A10" s="4" t="inlineStr">
        <is>
          <t>ETS</t>
        </is>
      </c>
      <c r="B10" s="4" t="n">
        <v>3</v>
      </c>
      <c r="C10" s="12" t="n">
        <v>0.6452338703851281</v>
      </c>
      <c r="D10" s="12" t="n">
        <v>0.3751661081793697</v>
      </c>
      <c r="E10" s="12" t="n">
        <v>0.2295503900921733</v>
      </c>
    </row>
    <row r="11">
      <c r="A11" s="4" t="inlineStr">
        <is>
          <t>ETS</t>
        </is>
      </c>
      <c r="B11" s="4" t="n">
        <v>4</v>
      </c>
      <c r="C11" s="12" t="n">
        <v>0.7893425844332418</v>
      </c>
      <c r="D11" s="12" t="n">
        <v>0.4182422729984636</v>
      </c>
      <c r="E11" s="12" t="n">
        <v>0.2160304988002775</v>
      </c>
    </row>
    <row r="12">
      <c r="A12" s="4" t="inlineStr">
        <is>
          <t>Комбинация</t>
        </is>
      </c>
      <c r="B12" s="4" t="n">
        <v>1</v>
      </c>
      <c r="C12" s="12" t="n">
        <v>0.3122368697340362</v>
      </c>
      <c r="D12" s="12" t="n">
        <v>0.1841778599507176</v>
      </c>
      <c r="E12" s="12" t="n">
        <v>0.164587315228106</v>
      </c>
    </row>
    <row r="13">
      <c r="A13" s="4" t="inlineStr">
        <is>
          <t>Комбинация</t>
        </is>
      </c>
      <c r="B13" s="4" t="n">
        <v>2</v>
      </c>
      <c r="C13" s="12" t="n">
        <v>0.5488454502996318</v>
      </c>
      <c r="D13" s="12" t="n">
        <v>0.3270704652551772</v>
      </c>
      <c r="E13" s="12" t="n">
        <v>0.2145766847371623</v>
      </c>
    </row>
    <row r="14">
      <c r="A14" s="4" t="inlineStr">
        <is>
          <t>Комбинация</t>
        </is>
      </c>
      <c r="B14" s="4" t="n">
        <v>3</v>
      </c>
      <c r="C14" s="12" t="n">
        <v>0.5832442813361519</v>
      </c>
      <c r="D14" s="12" t="n">
        <v>0.342499650184857</v>
      </c>
      <c r="E14" s="12" t="n">
        <v>0.2150876204081918</v>
      </c>
    </row>
    <row r="15">
      <c r="A15" s="4" t="inlineStr">
        <is>
          <t>Комбинация</t>
        </is>
      </c>
      <c r="B15" s="4" t="n">
        <v>4</v>
      </c>
      <c r="C15" s="12" t="n">
        <v>0.7559627243772663</v>
      </c>
      <c r="D15" s="12" t="n">
        <v>0.4143919155762125</v>
      </c>
      <c r="E15" s="12" t="n">
        <v>0.2322127078976163</v>
      </c>
    </row>
    <row r="16">
      <c r="A16" s="4" t="inlineStr">
        <is>
          <t>Наивный</t>
        </is>
      </c>
      <c r="B16" s="4" t="n">
        <v>1</v>
      </c>
      <c r="C16" s="12" t="n">
        <v>0.3231375995311346</v>
      </c>
      <c r="D16" s="12" t="n">
        <v>0.1825438212612898</v>
      </c>
      <c r="E16" s="12" t="n">
        <v>0.1429872854390973</v>
      </c>
    </row>
    <row r="17">
      <c r="A17" s="4" t="inlineStr">
        <is>
          <t>Наивный</t>
        </is>
      </c>
      <c r="B17" s="4" t="n">
        <v>2</v>
      </c>
      <c r="C17" s="12" t="n">
        <v>0.5256883345412962</v>
      </c>
      <c r="D17" s="12" t="n">
        <v>0.3444762391556189</v>
      </c>
      <c r="E17" s="12" t="n">
        <v>0.2482343028182518</v>
      </c>
    </row>
    <row r="18">
      <c r="A18" s="4" t="inlineStr">
        <is>
          <t>Наивный</t>
        </is>
      </c>
      <c r="B18" s="4" t="n">
        <v>3</v>
      </c>
      <c r="C18" s="12" t="n">
        <v>0.6445624687362009</v>
      </c>
      <c r="D18" s="12" t="n">
        <v>0.4012214085174459</v>
      </c>
      <c r="E18" s="12" t="n">
        <v>0.2872417551419599</v>
      </c>
    </row>
    <row r="19">
      <c r="A19" s="4" t="inlineStr">
        <is>
          <t>Наивный</t>
        </is>
      </c>
      <c r="B19" s="4" t="n">
        <v>4</v>
      </c>
      <c r="C19" s="12" t="n">
        <v>0.9176422671768605</v>
      </c>
      <c r="D19" s="12" t="n">
        <v>0.5731372923793799</v>
      </c>
      <c r="E19" s="12" t="n">
        <v>0.3860355619373642</v>
      </c>
    </row>
    <row r="20">
      <c r="A20" s="4" t="inlineStr">
        <is>
          <t>Сезонный наивный</t>
        </is>
      </c>
      <c r="B20" s="4" t="n">
        <v>1</v>
      </c>
      <c r="C20" s="12" t="n">
        <v>0.6888190049325965</v>
      </c>
      <c r="D20" s="12" t="n">
        <v>0.3697743622681181</v>
      </c>
      <c r="E20" s="12" t="n">
        <v>0.2133317706468363</v>
      </c>
    </row>
    <row r="21">
      <c r="A21" s="4" t="inlineStr">
        <is>
          <t>Сезонный наивный</t>
        </is>
      </c>
      <c r="B21" s="4" t="n">
        <v>2</v>
      </c>
      <c r="C21" s="12" t="n">
        <v>0.8294276425362656</v>
      </c>
      <c r="D21" s="12" t="n">
        <v>0.4480970001478124</v>
      </c>
      <c r="E21" s="12" t="n">
        <v>0.2449923717348675</v>
      </c>
    </row>
    <row r="22">
      <c r="A22" s="4" t="inlineStr">
        <is>
          <t>Сезонный наивный</t>
        </is>
      </c>
      <c r="B22" s="4" t="n">
        <v>3</v>
      </c>
      <c r="C22" s="12" t="n">
        <v>0.770257005162985</v>
      </c>
      <c r="D22" s="12" t="n">
        <v>0.4019118756165896</v>
      </c>
      <c r="E22" s="12" t="n">
        <v>0.2044202067217162</v>
      </c>
    </row>
    <row r="23">
      <c r="A23" s="4" t="inlineStr">
        <is>
          <t>Сезонный наивный</t>
        </is>
      </c>
      <c r="B23" s="4" t="n">
        <v>4</v>
      </c>
      <c r="C23" s="12" t="n">
        <v>0.7578263708268731</v>
      </c>
      <c r="D23" s="12" t="n">
        <v>0.4562941227147239</v>
      </c>
      <c r="E23" s="12" t="n">
        <v>0.2979605480617513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2" t="inlineStr">
        <is>
          <t>тип</t>
        </is>
      </c>
      <c r="B1" s="2" t="inlineStr">
        <is>
          <t>сообщение</t>
        </is>
      </c>
    </row>
    <row r="2">
      <c r="A2" s="4" t="inlineStr">
        <is>
          <t>информация</t>
        </is>
      </c>
      <c r="B2" s="4" t="inlineStr">
        <is>
          <t>Кварталы в файле: 2023Q1 – 2026Q1 (13 шт.)</t>
        </is>
      </c>
    </row>
    <row r="3">
      <c r="A3" s="4" t="inlineStr">
        <is>
          <t>информация</t>
        </is>
      </c>
      <c r="B3" s="4" t="inlineStr">
        <is>
          <t>Сегментов: {'ДВС': 8, 'Электро': 6}</t>
        </is>
      </c>
    </row>
    <row r="4">
      <c r="A4" s="4" t="inlineStr">
        <is>
          <t>информация</t>
        </is>
      </c>
      <c r="B4" s="4" t="inlineStr">
        <is>
          <t>Формула «Итого» (Электро) =SUM(C13:C20) захватывает строки заголовка блока (сегменты — 15–20); текст SUM не суммирует, на итог не влияет</t>
        </is>
      </c>
    </row>
    <row r="5">
      <c r="A5" s="4" t="inlineStr">
        <is>
          <t>информация</t>
        </is>
      </c>
      <c r="B5" s="4" t="inlineStr">
        <is>
          <t>Новые кварталы: нет (пересчёт на тех же данных)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2026-10-15T08:34:23Z</dcterms:created>
  <dcterms:modified xsi:type="dcterms:W3CDTF">2026-10-15T08:34:23Z</dcterms:modified>
</cp:coreProperties>
</file>